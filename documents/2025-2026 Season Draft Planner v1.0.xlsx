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tables/table7.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Z:\sas_bi_clinical_outcomes\r_projects\fantasy_premier_league\documents\"/>
    </mc:Choice>
  </mc:AlternateContent>
  <xr:revisionPtr revIDLastSave="0" documentId="8_{B9D939FE-A615-47F6-B71A-446DE47B33A0}" xr6:coauthVersionLast="47" xr6:coauthVersionMax="47" xr10:uidLastSave="{00000000-0000-0000-0000-000000000000}"/>
  <bookViews>
    <workbookView xWindow="-105" yWindow="0" windowWidth="26010" windowHeight="20985" xr2:uid="{494B151D-BEE9-4216-8A98-C206EE8569D5}"/>
  </bookViews>
  <sheets>
    <sheet name="draft_data" sheetId="11" r:id="rId1"/>
    <sheet name="draft_order" sheetId="3" r:id="rId2"/>
    <sheet name="matrix" sheetId="7" r:id="rId3"/>
    <sheet name="awards" sheetId="6" r:id="rId4"/>
  </sheets>
  <definedNames>
    <definedName name="ExternalData_1" localSheetId="2" hidden="1">matrix!$M$6:$P$7</definedName>
    <definedName name="ExternalData_2" localSheetId="2" hidden="1">matrix!$R$6:$U$1368</definedName>
    <definedName name="ExternalData_3" localSheetId="0" hidden="1">draft_data!$B$9:$L$691</definedName>
    <definedName name="_xlnm.Print_Area" localSheetId="1">draft_order!$A$1:$D$20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O691" i="11" l="1"/>
  <c r="O10" i="11"/>
  <c r="O11" i="11"/>
  <c r="O12" i="11"/>
  <c r="O13" i="11"/>
  <c r="O14" i="11"/>
  <c r="O15" i="11"/>
  <c r="O16" i="11"/>
  <c r="O17" i="11"/>
  <c r="O18" i="11"/>
  <c r="O19" i="11"/>
  <c r="O20" i="11"/>
  <c r="O21" i="11"/>
  <c r="O22" i="11"/>
  <c r="O23" i="11"/>
  <c r="O24" i="11"/>
  <c r="O25" i="11"/>
  <c r="O26" i="11"/>
  <c r="O27" i="11"/>
  <c r="O28" i="11"/>
  <c r="O29" i="11"/>
  <c r="O30" i="11"/>
  <c r="O31" i="11"/>
  <c r="O32" i="11"/>
  <c r="O33" i="11"/>
  <c r="O34" i="11"/>
  <c r="O35" i="11"/>
  <c r="O36" i="11"/>
  <c r="O37" i="11"/>
  <c r="O38" i="11"/>
  <c r="O39" i="11"/>
  <c r="O40" i="11"/>
  <c r="O41" i="11"/>
  <c r="O42" i="11"/>
  <c r="O43" i="11"/>
  <c r="O44" i="11"/>
  <c r="O45" i="11"/>
  <c r="O46" i="11"/>
  <c r="O47" i="11"/>
  <c r="O48" i="11"/>
  <c r="O49" i="11"/>
  <c r="O50" i="11"/>
  <c r="O51" i="11"/>
  <c r="O52" i="11"/>
  <c r="O53" i="11"/>
  <c r="O54" i="11"/>
  <c r="O55" i="11"/>
  <c r="O56" i="11"/>
  <c r="O57" i="11"/>
  <c r="O58" i="11"/>
  <c r="O59" i="11"/>
  <c r="O60" i="11"/>
  <c r="O61" i="11"/>
  <c r="O62" i="11"/>
  <c r="O63" i="11"/>
  <c r="O64" i="11"/>
  <c r="O65" i="11"/>
  <c r="O66" i="11"/>
  <c r="O67" i="11"/>
  <c r="O68" i="11"/>
  <c r="O69" i="11"/>
  <c r="O70" i="11"/>
  <c r="O71" i="11"/>
  <c r="O72" i="11"/>
  <c r="O73" i="11"/>
  <c r="O75" i="11"/>
  <c r="O74" i="11"/>
  <c r="O76" i="11"/>
  <c r="O77" i="11"/>
  <c r="O78" i="11"/>
  <c r="O79" i="11"/>
  <c r="O80" i="11"/>
  <c r="O81" i="11"/>
  <c r="O83" i="11"/>
  <c r="O82" i="11"/>
  <c r="O84" i="11"/>
  <c r="O85" i="11"/>
  <c r="O86" i="11"/>
  <c r="O87" i="11"/>
  <c r="O88" i="11"/>
  <c r="O89" i="11"/>
  <c r="O90" i="11"/>
  <c r="O91" i="11"/>
  <c r="O92" i="11"/>
  <c r="O93" i="11"/>
  <c r="O94" i="11"/>
  <c r="O95" i="11"/>
  <c r="O96" i="11"/>
  <c r="O97" i="11"/>
  <c r="O98" i="11"/>
  <c r="O99" i="11"/>
  <c r="O100" i="11"/>
  <c r="O101" i="11"/>
  <c r="O102" i="11"/>
  <c r="O103" i="11"/>
  <c r="O104" i="11"/>
  <c r="O105" i="11"/>
  <c r="O106" i="11"/>
  <c r="O107" i="11"/>
  <c r="O108" i="11"/>
  <c r="O109" i="11"/>
  <c r="O110" i="11"/>
  <c r="O111" i="11"/>
  <c r="O112" i="11"/>
  <c r="O113" i="11"/>
  <c r="O114" i="11"/>
  <c r="O115" i="11"/>
  <c r="O116" i="11"/>
  <c r="O117" i="11"/>
  <c r="O118" i="11"/>
  <c r="O119" i="11"/>
  <c r="O120" i="11"/>
  <c r="O121" i="11"/>
  <c r="O122" i="11"/>
  <c r="O123" i="11"/>
  <c r="O124" i="11"/>
  <c r="O125" i="11"/>
  <c r="O126" i="11"/>
  <c r="O127" i="11"/>
  <c r="O128" i="11"/>
  <c r="O129" i="11"/>
  <c r="O130" i="11"/>
  <c r="O131" i="11"/>
  <c r="O132" i="11"/>
  <c r="O133" i="11"/>
  <c r="O134" i="11"/>
  <c r="O135" i="11"/>
  <c r="O136" i="11"/>
  <c r="O137" i="11"/>
  <c r="O138" i="11"/>
  <c r="O139" i="11"/>
  <c r="O140" i="11"/>
  <c r="O141" i="11"/>
  <c r="O142" i="11"/>
  <c r="O143" i="11"/>
  <c r="O144" i="11"/>
  <c r="O145" i="11"/>
  <c r="O146" i="11"/>
  <c r="O147" i="11"/>
  <c r="O148" i="11"/>
  <c r="O149" i="11"/>
  <c r="O150" i="11"/>
  <c r="O151" i="11"/>
  <c r="O152" i="11"/>
  <c r="O153" i="11"/>
  <c r="O154" i="11"/>
  <c r="O155" i="11"/>
  <c r="O156" i="11"/>
  <c r="O157" i="11"/>
  <c r="O158" i="11"/>
  <c r="O159" i="11"/>
  <c r="O160" i="11"/>
  <c r="O161" i="11"/>
  <c r="O162" i="11"/>
  <c r="O163" i="11"/>
  <c r="O164" i="11"/>
  <c r="O165" i="11"/>
  <c r="O166" i="11"/>
  <c r="O167" i="11"/>
  <c r="O168" i="11"/>
  <c r="O169" i="11"/>
  <c r="O170" i="11"/>
  <c r="O171" i="11"/>
  <c r="O172" i="11"/>
  <c r="O173" i="11"/>
  <c r="O174" i="11"/>
  <c r="O175" i="11"/>
  <c r="O176" i="11"/>
  <c r="O177" i="11"/>
  <c r="O178" i="11"/>
  <c r="O179" i="11"/>
  <c r="O180" i="11"/>
  <c r="O181" i="11"/>
  <c r="O182" i="11"/>
  <c r="O183" i="11"/>
  <c r="O184" i="11"/>
  <c r="O185" i="11"/>
  <c r="O186" i="11"/>
  <c r="O187" i="11"/>
  <c r="O188" i="11"/>
  <c r="O189" i="11"/>
  <c r="O190" i="11"/>
  <c r="O191" i="11"/>
  <c r="O192" i="11"/>
  <c r="O193" i="11"/>
  <c r="O194" i="11"/>
  <c r="O195" i="11"/>
  <c r="O196" i="11"/>
  <c r="O197" i="11"/>
  <c r="O198" i="11"/>
  <c r="O199" i="11"/>
  <c r="O200" i="11"/>
  <c r="O201" i="11"/>
  <c r="O202" i="11"/>
  <c r="O203" i="11"/>
  <c r="O204" i="11"/>
  <c r="O205" i="11"/>
  <c r="O206" i="11"/>
  <c r="O207" i="11"/>
  <c r="O208" i="11"/>
  <c r="O209" i="11"/>
  <c r="O210" i="11"/>
  <c r="O211" i="11"/>
  <c r="O212" i="11"/>
  <c r="O213" i="11"/>
  <c r="O214" i="11"/>
  <c r="O215" i="11"/>
  <c r="O216" i="11"/>
  <c r="O217" i="11"/>
  <c r="O218" i="11"/>
  <c r="O219" i="11"/>
  <c r="O220" i="11"/>
  <c r="O221" i="11"/>
  <c r="O222" i="11"/>
  <c r="O223" i="11"/>
  <c r="O224" i="11"/>
  <c r="O225" i="11"/>
  <c r="O226" i="11"/>
  <c r="O227" i="11"/>
  <c r="O228" i="11"/>
  <c r="O229" i="11"/>
  <c r="O230" i="11"/>
  <c r="O231" i="11"/>
  <c r="O232" i="11"/>
  <c r="O233" i="11"/>
  <c r="O234" i="11"/>
  <c r="O235" i="11"/>
  <c r="O236" i="11"/>
  <c r="O237" i="11"/>
  <c r="O238" i="11"/>
  <c r="O239" i="11"/>
  <c r="O240" i="11"/>
  <c r="O241" i="11"/>
  <c r="O242" i="11"/>
  <c r="O243" i="11"/>
  <c r="O244" i="11"/>
  <c r="O245" i="11"/>
  <c r="O246" i="11"/>
  <c r="O247" i="11"/>
  <c r="O248" i="11"/>
  <c r="O249" i="11"/>
  <c r="O250" i="11"/>
  <c r="O251" i="11"/>
  <c r="O252" i="11"/>
  <c r="O253" i="11"/>
  <c r="O254" i="11"/>
  <c r="O255" i="11"/>
  <c r="O256" i="11"/>
  <c r="O257" i="11"/>
  <c r="O258" i="11"/>
  <c r="O259" i="11"/>
  <c r="O260" i="11"/>
  <c r="O261" i="11"/>
  <c r="O262" i="11"/>
  <c r="O263" i="11"/>
  <c r="O264" i="11"/>
  <c r="O265" i="11"/>
  <c r="O266" i="11"/>
  <c r="O267" i="11"/>
  <c r="O269" i="11"/>
  <c r="O268" i="11"/>
  <c r="O270" i="11"/>
  <c r="O271" i="11"/>
  <c r="O272" i="11"/>
  <c r="O273" i="11"/>
  <c r="O274" i="11"/>
  <c r="O275" i="11"/>
  <c r="O276" i="11"/>
  <c r="O277" i="11"/>
  <c r="O278" i="11"/>
  <c r="O279" i="11"/>
  <c r="O280" i="11"/>
  <c r="O281" i="11"/>
  <c r="O282" i="11"/>
  <c r="O283" i="11"/>
  <c r="O284" i="11"/>
  <c r="O285" i="11"/>
  <c r="O286" i="11"/>
  <c r="O287" i="11"/>
  <c r="O288" i="11"/>
  <c r="O289" i="11"/>
  <c r="O290" i="11"/>
  <c r="O291" i="11"/>
  <c r="O292" i="11"/>
  <c r="O293" i="11"/>
  <c r="O294" i="11"/>
  <c r="O295" i="11"/>
  <c r="O296" i="11"/>
  <c r="O297" i="11"/>
  <c r="O298" i="11"/>
  <c r="O299" i="11"/>
  <c r="O300" i="11"/>
  <c r="O301" i="11"/>
  <c r="O302" i="11"/>
  <c r="O303" i="11"/>
  <c r="O304" i="11"/>
  <c r="O305" i="11"/>
  <c r="O306" i="11"/>
  <c r="O307" i="11"/>
  <c r="O308" i="11"/>
  <c r="O309" i="11"/>
  <c r="O310" i="11"/>
  <c r="O311" i="11"/>
  <c r="O313" i="11"/>
  <c r="O312" i="11"/>
  <c r="O314" i="11"/>
  <c r="O315" i="11"/>
  <c r="O316" i="11"/>
  <c r="O317" i="11"/>
  <c r="O318" i="11"/>
  <c r="O319" i="11"/>
  <c r="O320" i="11"/>
  <c r="O321" i="11"/>
  <c r="O322" i="11"/>
  <c r="O323" i="11"/>
  <c r="O324" i="11"/>
  <c r="O325" i="11"/>
  <c r="O326" i="11"/>
  <c r="O327" i="11"/>
  <c r="O328" i="11"/>
  <c r="O329" i="11"/>
  <c r="O330" i="11"/>
  <c r="O331" i="11"/>
  <c r="O332" i="11"/>
  <c r="O333" i="11"/>
  <c r="O334" i="11"/>
  <c r="O335" i="11"/>
  <c r="O336" i="11"/>
  <c r="O337" i="11"/>
  <c r="O338" i="11"/>
  <c r="O339" i="11"/>
  <c r="O340" i="11"/>
  <c r="O341" i="11"/>
  <c r="O342" i="11"/>
  <c r="O343" i="11"/>
  <c r="O344" i="11"/>
  <c r="O345" i="11"/>
  <c r="O346" i="11"/>
  <c r="O347" i="11"/>
  <c r="O348" i="11"/>
  <c r="O349" i="11"/>
  <c r="O350" i="11"/>
  <c r="O351" i="11"/>
  <c r="O352" i="11"/>
  <c r="O353" i="11"/>
  <c r="O354" i="11"/>
  <c r="O355" i="11"/>
  <c r="O356" i="11"/>
  <c r="O357" i="11"/>
  <c r="O358" i="11"/>
  <c r="O359" i="11"/>
  <c r="O360" i="11"/>
  <c r="O361" i="11"/>
  <c r="O362" i="11"/>
  <c r="O363" i="11"/>
  <c r="O364" i="11"/>
  <c r="O365" i="11"/>
  <c r="O366" i="11"/>
  <c r="O367" i="11"/>
  <c r="O368" i="11"/>
  <c r="O369" i="11"/>
  <c r="O370" i="11"/>
  <c r="O371" i="11"/>
  <c r="O372" i="11"/>
  <c r="O373" i="11"/>
  <c r="O374" i="11"/>
  <c r="O375" i="11"/>
  <c r="O376" i="11"/>
  <c r="O377" i="11"/>
  <c r="O378" i="11"/>
  <c r="O379" i="11"/>
  <c r="O380" i="11"/>
  <c r="O381" i="11"/>
  <c r="O382" i="11"/>
  <c r="O383" i="11"/>
  <c r="O384" i="11"/>
  <c r="O385" i="11"/>
  <c r="O386" i="11"/>
  <c r="O387" i="11"/>
  <c r="O388" i="11"/>
  <c r="O389" i="11"/>
  <c r="O390" i="11"/>
  <c r="O391" i="11"/>
  <c r="O392" i="11"/>
  <c r="O393" i="11"/>
  <c r="O394" i="11"/>
  <c r="O395" i="11"/>
  <c r="O396" i="11"/>
  <c r="O397" i="11"/>
  <c r="O398" i="11"/>
  <c r="O399" i="11"/>
  <c r="O400" i="11"/>
  <c r="O401" i="11"/>
  <c r="O402" i="11"/>
  <c r="O403" i="11"/>
  <c r="O404" i="11"/>
  <c r="O405" i="11"/>
  <c r="O406" i="11"/>
  <c r="O407" i="11"/>
  <c r="O408" i="11"/>
  <c r="O409" i="11"/>
  <c r="O410" i="11"/>
  <c r="O411" i="11"/>
  <c r="O412" i="11"/>
  <c r="O413" i="11"/>
  <c r="O414" i="11"/>
  <c r="O415" i="11"/>
  <c r="O416" i="11"/>
  <c r="O417" i="11"/>
  <c r="O418" i="11"/>
  <c r="O419" i="11"/>
  <c r="O420" i="11"/>
  <c r="O421" i="11"/>
  <c r="O422" i="11"/>
  <c r="O423" i="11"/>
  <c r="O424" i="11"/>
  <c r="O425" i="11"/>
  <c r="O426" i="11"/>
  <c r="O427" i="11"/>
  <c r="O428" i="11"/>
  <c r="O429" i="11"/>
  <c r="O430" i="11"/>
  <c r="O431" i="11"/>
  <c r="O433" i="11"/>
  <c r="O432" i="11"/>
  <c r="O434" i="11"/>
  <c r="O435" i="11"/>
  <c r="O436" i="11"/>
  <c r="O437" i="11"/>
  <c r="O438" i="11"/>
  <c r="O439" i="11"/>
  <c r="O440" i="11"/>
  <c r="O441" i="11"/>
  <c r="O442" i="11"/>
  <c r="O443" i="11"/>
  <c r="O444" i="11"/>
  <c r="O445" i="11"/>
  <c r="O446" i="11"/>
  <c r="O447" i="11"/>
  <c r="O448" i="11"/>
  <c r="O450" i="11"/>
  <c r="O449" i="11"/>
  <c r="O451" i="11"/>
  <c r="O452" i="11"/>
  <c r="O453" i="11"/>
  <c r="O454" i="11"/>
  <c r="O455" i="11"/>
  <c r="O456" i="11"/>
  <c r="O457" i="11"/>
  <c r="O458" i="11"/>
  <c r="O459" i="11"/>
  <c r="O460" i="11"/>
  <c r="O461" i="11"/>
  <c r="O462" i="11"/>
  <c r="O463" i="11"/>
  <c r="O464" i="11"/>
  <c r="O465" i="11"/>
  <c r="O466" i="11"/>
  <c r="O467" i="11"/>
  <c r="O469" i="11"/>
  <c r="O468" i="11"/>
  <c r="O470" i="11"/>
  <c r="O471" i="11"/>
  <c r="O472" i="11"/>
  <c r="O473" i="11"/>
  <c r="O474" i="11"/>
  <c r="O475" i="11"/>
  <c r="O477" i="11"/>
  <c r="O476" i="11"/>
  <c r="O478" i="11"/>
  <c r="O479" i="11"/>
  <c r="O480" i="11"/>
  <c r="O481" i="11"/>
  <c r="O482" i="11"/>
  <c r="O483" i="11"/>
  <c r="O484" i="11"/>
  <c r="O485" i="11"/>
  <c r="O486" i="11"/>
  <c r="O487" i="11"/>
  <c r="O488" i="11"/>
  <c r="O489" i="11"/>
  <c r="O490" i="11"/>
  <c r="O491" i="11"/>
  <c r="O492" i="11"/>
  <c r="O493" i="11"/>
  <c r="O494" i="11"/>
  <c r="O495" i="11"/>
  <c r="O496" i="11"/>
  <c r="O497" i="11"/>
  <c r="O498" i="11"/>
  <c r="O499" i="11"/>
  <c r="O500" i="11"/>
  <c r="O501" i="11"/>
  <c r="O502" i="11"/>
  <c r="O503" i="11"/>
  <c r="O504" i="11"/>
  <c r="O505" i="11"/>
  <c r="O506" i="11"/>
  <c r="O507" i="11"/>
  <c r="O508" i="11"/>
  <c r="O509" i="11"/>
  <c r="O510" i="11"/>
  <c r="O511" i="11"/>
  <c r="O512" i="11"/>
  <c r="O513" i="11"/>
  <c r="O514" i="11"/>
  <c r="O515" i="11"/>
  <c r="O516" i="11"/>
  <c r="O517" i="11"/>
  <c r="O518" i="11"/>
  <c r="O519" i="11"/>
  <c r="O520" i="11"/>
  <c r="O521" i="11"/>
  <c r="O522" i="11"/>
  <c r="O523" i="11"/>
  <c r="O525" i="11"/>
  <c r="O524" i="11"/>
  <c r="O526" i="11"/>
  <c r="O527" i="11"/>
  <c r="O528" i="11"/>
  <c r="O529" i="11"/>
  <c r="O530" i="11"/>
  <c r="O531" i="11"/>
  <c r="O532" i="11"/>
  <c r="O533" i="11"/>
  <c r="O534" i="11"/>
  <c r="O535" i="11"/>
  <c r="O536" i="11"/>
  <c r="O537" i="11"/>
  <c r="O538" i="11"/>
  <c r="O539" i="11"/>
  <c r="O540" i="11"/>
  <c r="O541" i="11"/>
  <c r="O542" i="11"/>
  <c r="O543" i="11"/>
  <c r="O687" i="11"/>
  <c r="O638" i="11"/>
  <c r="O689" i="11"/>
  <c r="O545" i="11"/>
  <c r="O559" i="11"/>
  <c r="O636" i="11"/>
  <c r="O548" i="11"/>
  <c r="O579" i="11"/>
  <c r="O582" i="11"/>
  <c r="O633" i="11"/>
  <c r="O618" i="11"/>
  <c r="O553" i="11"/>
  <c r="O672" i="11"/>
  <c r="O576" i="11"/>
  <c r="O643" i="11"/>
  <c r="O608" i="11"/>
  <c r="O690" i="11"/>
  <c r="O666" i="11"/>
  <c r="O557" i="11"/>
  <c r="O657" i="11"/>
  <c r="O617" i="11"/>
  <c r="O661" i="11"/>
  <c r="O631" i="11"/>
  <c r="O606" i="11"/>
  <c r="O619" i="11"/>
  <c r="O659" i="11"/>
  <c r="O665" i="11"/>
  <c r="O664" i="11"/>
  <c r="O581" i="11"/>
  <c r="O567" i="11"/>
  <c r="O632" i="11"/>
  <c r="O555" i="11"/>
  <c r="O563" i="11"/>
  <c r="O640" i="11"/>
  <c r="O634" i="11"/>
  <c r="O566" i="11"/>
  <c r="O627" i="11"/>
  <c r="O654" i="11"/>
  <c r="O683" i="11"/>
  <c r="O673" i="11"/>
  <c r="O684" i="11"/>
  <c r="O552" i="11"/>
  <c r="O588" i="11"/>
  <c r="O607" i="11"/>
  <c r="O642" i="11"/>
  <c r="O650" i="11"/>
  <c r="O681" i="11"/>
  <c r="O660" i="11"/>
  <c r="O562" i="11"/>
  <c r="O630" i="11"/>
  <c r="O569" i="11"/>
  <c r="O546" i="11"/>
  <c r="O628" i="11"/>
  <c r="O594" i="11"/>
  <c r="O589" i="11"/>
  <c r="O570" i="11"/>
  <c r="O578" i="11"/>
  <c r="O568" i="11"/>
  <c r="O669" i="11"/>
  <c r="O678" i="11"/>
  <c r="O656" i="11"/>
  <c r="O644" i="11"/>
  <c r="O648" i="11"/>
  <c r="O621" i="11"/>
  <c r="O670" i="11"/>
  <c r="O667" i="11"/>
  <c r="O586" i="11"/>
  <c r="O599" i="11"/>
  <c r="O554" i="11"/>
  <c r="O624" i="11"/>
  <c r="O641" i="11"/>
  <c r="O577" i="11"/>
  <c r="O561" i="11"/>
  <c r="O658" i="11"/>
  <c r="O620" i="11"/>
  <c r="O549" i="11"/>
  <c r="O616" i="11"/>
  <c r="O575" i="11"/>
  <c r="O580" i="11"/>
  <c r="O675" i="11"/>
  <c r="O613" i="11"/>
  <c r="O668" i="11"/>
  <c r="O556" i="11"/>
  <c r="O564" i="11"/>
  <c r="O637" i="11"/>
  <c r="O615" i="11"/>
  <c r="O598" i="11"/>
  <c r="O623" i="11"/>
  <c r="O663" i="11"/>
  <c r="O595" i="11"/>
  <c r="O647" i="11"/>
  <c r="O649" i="11"/>
  <c r="O635" i="11"/>
  <c r="O591" i="11"/>
  <c r="O651" i="11"/>
  <c r="O629" i="11"/>
  <c r="O686" i="11"/>
  <c r="O680" i="11"/>
  <c r="O655" i="11"/>
  <c r="O674" i="11"/>
  <c r="O572" i="11"/>
  <c r="O583" i="11"/>
  <c r="O573" i="11"/>
  <c r="O590" i="11"/>
  <c r="O622" i="11"/>
  <c r="O662" i="11"/>
  <c r="O551" i="11"/>
  <c r="O544" i="11"/>
  <c r="O677" i="11"/>
  <c r="O645" i="11"/>
  <c r="O571" i="11"/>
  <c r="O596" i="11"/>
  <c r="O597" i="11"/>
  <c r="O585" i="11"/>
  <c r="O612" i="11"/>
  <c r="O602" i="11"/>
  <c r="O609" i="11"/>
  <c r="O688" i="11"/>
  <c r="O593" i="11"/>
  <c r="O587" i="11"/>
  <c r="O604" i="11"/>
  <c r="O584" i="11"/>
  <c r="O625" i="11"/>
  <c r="O652" i="11"/>
  <c r="O611" i="11"/>
  <c r="O614" i="11"/>
  <c r="O600" i="11"/>
  <c r="O592" i="11"/>
  <c r="O603" i="11"/>
  <c r="O685" i="11"/>
  <c r="O565" i="11"/>
  <c r="O676" i="11"/>
  <c r="O558" i="11"/>
  <c r="O671" i="11"/>
  <c r="O605" i="11"/>
  <c r="O547" i="11"/>
  <c r="O610" i="11"/>
  <c r="O550" i="11"/>
  <c r="O560" i="11"/>
  <c r="O679" i="11"/>
  <c r="O601" i="11"/>
  <c r="O682" i="11"/>
  <c r="O653" i="11"/>
  <c r="O626" i="11"/>
  <c r="O639" i="11"/>
  <c r="O646" i="11"/>
  <c r="O574" i="11"/>
  <c r="D19" i="3"/>
  <c r="D17" i="3"/>
  <c r="D18" i="3" s="1"/>
  <c r="D15" i="3"/>
  <c r="D16" i="3" s="1"/>
  <c r="D13" i="3"/>
  <c r="D14" i="3" s="1"/>
  <c r="D11" i="3"/>
  <c r="D12" i="3" s="1"/>
  <c r="D10" i="3"/>
  <c r="D9" i="3"/>
  <c r="M7" i="11" l="1"/>
  <c r="L7" i="11"/>
  <c r="K7" i="11"/>
  <c r="J7" i="11"/>
  <c r="D5" i="11"/>
  <c r="J6" i="11" l="1"/>
  <c r="L5" i="11"/>
  <c r="K5" i="11"/>
  <c r="M5" i="11"/>
  <c r="K6" i="11"/>
  <c r="L6" i="11"/>
  <c r="M6" i="11"/>
  <c r="J5"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AAA69B-07B3-4EE7-90AB-83F5560E494E}" keepAlive="1" name="Query - data_official_fpl" description="Connection to the 'data_official_fpl' query in the workbook." type="5" refreshedVersion="0" background="1">
    <dbPr connection="Provider=Microsoft.Mashup.OleDb.1;Data Source=$Workbook$;Location=data_official_fpl;Extended Properties=&quot;&quot;" command="SELECT * FROM [data_official_fpl]"/>
  </connection>
  <connection id="2" xr16:uid="{2766D5CE-21A7-4FF2-A656-A070E1A96CE9}" keepAlive="1" name="Query - fantasy_football_scout_data" description="Connection to the 'fantasy_football_scout_data' query in the workbook." type="5" refreshedVersion="0" background="1">
    <dbPr connection="Provider=Microsoft.Mashup.OleDb.1;Data Source=$Workbook$;Location=fantasy_football_scout_data;Extended Properties=&quot;&quot;" command="SELECT * FROM [fantasy_football_scout_data]"/>
  </connection>
  <connection id="3" xr16:uid="{B80468A5-6BC8-4617-B36D-965C7593D377}" keepAlive="1" name="Query - master_data" description="Connection to the 'master_data' query in the workbook." type="5" refreshedVersion="8" background="1" saveData="1">
    <dbPr connection="Provider=Microsoft.Mashup.OleDb.1;Data Source=$Workbook$;Location=master_data;Extended Properties=&quot;&quot;" command="SELECT * FROM [master_data]"/>
  </connection>
  <connection id="4" xr16:uid="{9D0677AE-283F-4F2E-AF8E-18BD1A76D77B}" keepAlive="1" name="Query - missing_player_linkage" description="Connection to the 'missing_player_linkage' query in the workbook." type="5" refreshedVersion="8" background="1" saveData="1">
    <dbPr connection="Provider=Microsoft.Mashup.OleDb.1;Data Source=$Workbook$;Location=missing_player_linkage;Extended Properties=&quot;&quot;" command="SELECT * FROM [missing_player_linkage]"/>
  </connection>
  <connection id="5" xr16:uid="{4B475AA4-8015-43A8-9B54-81FB7B237C79}" keepAlive="1" name="Query - player_check" description="Connection to the 'player_check' query in the workbook." type="5" refreshedVersion="8" background="1" saveData="1">
    <dbPr connection="Provider=Microsoft.Mashup.OleDb.1;Data Source=$Workbook$;Location=player_check;Extended Properties=&quot;&quot;" command="SELECT * FROM [player_check]"/>
  </connection>
  <connection id="6" xr16:uid="{F17F9CF5-B6E9-46B5-908D-E2D952460A63}" keepAlive="1" name="Query - player_linkage" description="Connection to the 'player_linkage' query in the workbook." type="5" refreshedVersion="0" background="1">
    <dbPr connection="Provider=Microsoft.Mashup.OleDb.1;Data Source=$Workbook$;Location=player_linkage;Extended Properties=&quot;&quot;" command="SELECT * FROM [player_linkage]"/>
  </connection>
  <connection id="7" xr16:uid="{97469F81-1A85-46CA-B7F5-3CFD73E4CAC4}" keepAlive="1" name="Query - player_status" description="Connection to the 'player_status' query in the workbook." type="5" refreshedVersion="0" background="1">
    <dbPr connection="Provider=Microsoft.Mashup.OleDb.1;Data Source=$Workbook$;Location=player_status;Extended Properties=&quot;&quot;" command="SELECT * FROM [player_status]"/>
  </connection>
  <connection id="8" xr16:uid="{37383F7D-821E-49B6-A80F-B59172CC89BF}" keepAlive="1" name="Query - position_type" description="Connection to the 'position_type' query in the workbook." type="5" refreshedVersion="0" background="1">
    <dbPr connection="Provider=Microsoft.Mashup.OleDb.1;Data Source=$Workbook$;Location=position_type;Extended Properties=&quot;&quot;" command="SELECT * FROM [position_type]"/>
  </connection>
</connections>
</file>

<file path=xl/sharedStrings.xml><?xml version="1.0" encoding="utf-8"?>
<sst xmlns="http://schemas.openxmlformats.org/spreadsheetml/2006/main" count="9143" uniqueCount="844">
  <si>
    <t>Team</t>
  </si>
  <si>
    <t>Haaland</t>
  </si>
  <si>
    <t>Son</t>
  </si>
  <si>
    <t>Foden</t>
  </si>
  <si>
    <t>James</t>
  </si>
  <si>
    <t>Luis Diaz</t>
  </si>
  <si>
    <t>Kulusevski</t>
  </si>
  <si>
    <t>Robertson</t>
  </si>
  <si>
    <t>Darwin</t>
  </si>
  <si>
    <t>Mount</t>
  </si>
  <si>
    <t>Saka</t>
  </si>
  <si>
    <t>GK</t>
  </si>
  <si>
    <t>Bowen</t>
  </si>
  <si>
    <t>Martinelli</t>
  </si>
  <si>
    <t>Ramsdale</t>
  </si>
  <si>
    <t>Neto</t>
  </si>
  <si>
    <t>Bernardo</t>
  </si>
  <si>
    <t>Maddison</t>
  </si>
  <si>
    <t>Sancho</t>
  </si>
  <si>
    <t>Wilson</t>
  </si>
  <si>
    <t>Stones</t>
  </si>
  <si>
    <t>Trossard</t>
  </si>
  <si>
    <t>Martinez</t>
  </si>
  <si>
    <t>Pope</t>
  </si>
  <si>
    <t>Rashford</t>
  </si>
  <si>
    <t>Walker</t>
  </si>
  <si>
    <t>Pickford</t>
  </si>
  <si>
    <t>Welbeck</t>
  </si>
  <si>
    <t>Gabriel</t>
  </si>
  <si>
    <t>Sanchez</t>
  </si>
  <si>
    <t>Watkins</t>
  </si>
  <si>
    <t>Travers</t>
  </si>
  <si>
    <t>Havertz</t>
  </si>
  <si>
    <t>Romero</t>
  </si>
  <si>
    <t>Gray</t>
  </si>
  <si>
    <t>Henderson</t>
  </si>
  <si>
    <t>Gordon</t>
  </si>
  <si>
    <t>Awoniyi</t>
  </si>
  <si>
    <t>Johnson</t>
  </si>
  <si>
    <t>Ake</t>
  </si>
  <si>
    <t>Mbeumo</t>
  </si>
  <si>
    <t>Solanke</t>
  </si>
  <si>
    <t>Soucek</t>
  </si>
  <si>
    <t>Mac Allister</t>
  </si>
  <si>
    <t>Digne</t>
  </si>
  <si>
    <t>Doherty</t>
  </si>
  <si>
    <t>Zinchenko</t>
  </si>
  <si>
    <t>White</t>
  </si>
  <si>
    <t>Cucurella</t>
  </si>
  <si>
    <t>Raya</t>
  </si>
  <si>
    <t>Tielemans</t>
  </si>
  <si>
    <t>Cash</t>
  </si>
  <si>
    <t>Trippier</t>
  </si>
  <si>
    <t>Bentancur</t>
  </si>
  <si>
    <t>Wissa</t>
  </si>
  <si>
    <t>Janelt</t>
  </si>
  <si>
    <t>Mateta</t>
  </si>
  <si>
    <t>Dunk</t>
  </si>
  <si>
    <t>Shaw</t>
  </si>
  <si>
    <t>Boly</t>
  </si>
  <si>
    <t>Joelinton</t>
  </si>
  <si>
    <t>Eze</t>
  </si>
  <si>
    <t>Fraser</t>
  </si>
  <si>
    <t>Maguire</t>
  </si>
  <si>
    <t>Norgaard</t>
  </si>
  <si>
    <t>Anthony</t>
  </si>
  <si>
    <t>Brooks</t>
  </si>
  <si>
    <t>Veltman</t>
  </si>
  <si>
    <t>Andreas</t>
  </si>
  <si>
    <t>Bailey</t>
  </si>
  <si>
    <t>Mee</t>
  </si>
  <si>
    <t>Fabio Vieira</t>
  </si>
  <si>
    <t>Hickey</t>
  </si>
  <si>
    <t>Grealish</t>
  </si>
  <si>
    <t>Mings</t>
  </si>
  <si>
    <t>Henry</t>
  </si>
  <si>
    <t>Andersen</t>
  </si>
  <si>
    <t>Botman</t>
  </si>
  <si>
    <t>Guehi</t>
  </si>
  <si>
    <t>Targett</t>
  </si>
  <si>
    <t>Dalot</t>
  </si>
  <si>
    <t>Cairney</t>
  </si>
  <si>
    <t>Iwobi</t>
  </si>
  <si>
    <t>Mitchell</t>
  </si>
  <si>
    <t>Kovacic</t>
  </si>
  <si>
    <t>Jensen</t>
  </si>
  <si>
    <t>Caicedo</t>
  </si>
  <si>
    <t>Dendoncker</t>
  </si>
  <si>
    <t>Kamara</t>
  </si>
  <si>
    <t>McGinn</t>
  </si>
  <si>
    <t>Tarkowski</t>
  </si>
  <si>
    <t>Rice</t>
  </si>
  <si>
    <t>Richarlison</t>
  </si>
  <si>
    <t>Mykolenko</t>
  </si>
  <si>
    <t>March</t>
  </si>
  <si>
    <t>Worrall</t>
  </si>
  <si>
    <t>Webster</t>
  </si>
  <si>
    <t>Thiago</t>
  </si>
  <si>
    <t>Tosin</t>
  </si>
  <si>
    <t>Elanga</t>
  </si>
  <si>
    <t>Edouard</t>
  </si>
  <si>
    <t>Robinson</t>
  </si>
  <si>
    <t>Toti</t>
  </si>
  <si>
    <t>Patterson</t>
  </si>
  <si>
    <t>Bissouma</t>
  </si>
  <si>
    <t>Mepham</t>
  </si>
  <si>
    <t>Tete</t>
  </si>
  <si>
    <t>Cook</t>
  </si>
  <si>
    <t>Saliba</t>
  </si>
  <si>
    <t>Christie</t>
  </si>
  <si>
    <t>Keane</t>
  </si>
  <si>
    <t>Clyne</t>
  </si>
  <si>
    <t>Yates</t>
  </si>
  <si>
    <t>Rodrigo</t>
  </si>
  <si>
    <t>Bryan</t>
  </si>
  <si>
    <t>Smith</t>
  </si>
  <si>
    <t>Wood</t>
  </si>
  <si>
    <t>Buendia</t>
  </si>
  <si>
    <t>Coleman</t>
  </si>
  <si>
    <t>Burn</t>
  </si>
  <si>
    <t>Onyeka</t>
  </si>
  <si>
    <t>Chalobah</t>
  </si>
  <si>
    <t>Phillips</t>
  </si>
  <si>
    <t>Lamptey</t>
  </si>
  <si>
    <t>Smith Rowe</t>
  </si>
  <si>
    <t>Nketiah</t>
  </si>
  <si>
    <t>Malacia</t>
  </si>
  <si>
    <t>Konate</t>
  </si>
  <si>
    <t>Hughes</t>
  </si>
  <si>
    <t>Hudson-Odoi</t>
  </si>
  <si>
    <t>Johnstone</t>
  </si>
  <si>
    <t>Spence</t>
  </si>
  <si>
    <t>Muniz</t>
  </si>
  <si>
    <t>Lerma</t>
  </si>
  <si>
    <t>Reed</t>
  </si>
  <si>
    <t>Milner</t>
  </si>
  <si>
    <t>Alvarez</t>
  </si>
  <si>
    <t>Davies</t>
  </si>
  <si>
    <t>Ajer</t>
  </si>
  <si>
    <t>Diop</t>
  </si>
  <si>
    <t>Sarr</t>
  </si>
  <si>
    <t>Wan-Bissaka</t>
  </si>
  <si>
    <t>Willock</t>
  </si>
  <si>
    <t>Lewis-Potter</t>
  </si>
  <si>
    <t>Elliott</t>
  </si>
  <si>
    <t>Roerslev</t>
  </si>
  <si>
    <t>Pinnock</t>
  </si>
  <si>
    <t>Tsimikas</t>
  </si>
  <si>
    <t>Gomez</t>
  </si>
  <si>
    <t>Kilman</t>
  </si>
  <si>
    <t>Lascelles</t>
  </si>
  <si>
    <t>Ferguson</t>
  </si>
  <si>
    <t>Konsa</t>
  </si>
  <si>
    <t>Gibbs-White</t>
  </si>
  <si>
    <t>Enciso</t>
  </si>
  <si>
    <t>Ebiowei</t>
  </si>
  <si>
    <t>Arrizabalaga</t>
  </si>
  <si>
    <t>O'Brien</t>
  </si>
  <si>
    <t>Palmer</t>
  </si>
  <si>
    <t>Kelleher</t>
  </si>
  <si>
    <t>Iroegbunam</t>
  </si>
  <si>
    <t>Heaton</t>
  </si>
  <si>
    <t>Leno</t>
  </si>
  <si>
    <t>Steele</t>
  </si>
  <si>
    <t>Mitoma</t>
  </si>
  <si>
    <t>Areola</t>
  </si>
  <si>
    <t>Sarmiento</t>
  </si>
  <si>
    <t>Dubravka</t>
  </si>
  <si>
    <t>Dennis</t>
  </si>
  <si>
    <t>Nelson</t>
  </si>
  <si>
    <t>Van den Berg</t>
  </si>
  <si>
    <t>McAtee</t>
  </si>
  <si>
    <t>Krafth</t>
  </si>
  <si>
    <t>Holding</t>
  </si>
  <si>
    <t>Matthews</t>
  </si>
  <si>
    <t>Austin</t>
  </si>
  <si>
    <t>Turner</t>
  </si>
  <si>
    <t>Collins</t>
  </si>
  <si>
    <t>FWD</t>
  </si>
  <si>
    <t>MID</t>
  </si>
  <si>
    <t>LIV</t>
  </si>
  <si>
    <t>DEF</t>
  </si>
  <si>
    <t>WOL</t>
  </si>
  <si>
    <t>BRE</t>
  </si>
  <si>
    <t>MCI</t>
  </si>
  <si>
    <t>EVE</t>
  </si>
  <si>
    <t>NEW</t>
  </si>
  <si>
    <t>CHE</t>
  </si>
  <si>
    <t>CRY</t>
  </si>
  <si>
    <t>FUL</t>
  </si>
  <si>
    <t>BOU</t>
  </si>
  <si>
    <t>AVL</t>
  </si>
  <si>
    <t>TOT</t>
  </si>
  <si>
    <t>MUN</t>
  </si>
  <si>
    <t>ARS</t>
  </si>
  <si>
    <t>Pick</t>
  </si>
  <si>
    <t>Premium MID</t>
  </si>
  <si>
    <t>Premium MID/FWD</t>
  </si>
  <si>
    <t>Priority MID/FWD</t>
  </si>
  <si>
    <t>Priority GK</t>
  </si>
  <si>
    <t>Backup GK</t>
  </si>
  <si>
    <t>Second FWD</t>
  </si>
  <si>
    <t>Solid DEF</t>
  </si>
  <si>
    <t>Rotation MID</t>
  </si>
  <si>
    <t>Rotiation DEF</t>
  </si>
  <si>
    <t>Rotiation FWD</t>
  </si>
  <si>
    <t>Order</t>
  </si>
  <si>
    <t>Draft Order</t>
  </si>
  <si>
    <t>Position</t>
  </si>
  <si>
    <t>Type</t>
  </si>
  <si>
    <t>Draft Picks</t>
  </si>
  <si>
    <t>Priority MID/Premium DEF</t>
  </si>
  <si>
    <t>Priority DEF</t>
  </si>
  <si>
    <t>Solid MID/Premium DEF</t>
  </si>
  <si>
    <t>Budget Remaining</t>
  </si>
  <si>
    <t>Award</t>
  </si>
  <si>
    <t>Awarded For</t>
  </si>
  <si>
    <t>Reward</t>
  </si>
  <si>
    <t>Stats</t>
  </si>
  <si>
    <t>Boule en laiton</t>
  </si>
  <si>
    <t>It's an award ya fuckin' doughball</t>
  </si>
  <si>
    <t>Vote</t>
  </si>
  <si>
    <t>Be it through excitement of over performing players, a punch to the guts, or a battle of the tallest midget, this award is for providing the most entertainment to the league</t>
  </si>
  <si>
    <t>The Russell Crowe "are you not entertained?" certificate</t>
  </si>
  <si>
    <t>Awarded to the manager who signs the absolute worst player. Candidates will be based on a "points scored whilst in the starting 11" ratio ruling out intentional bench warmers</t>
  </si>
  <si>
    <t>The Ali Dia order of merit</t>
  </si>
  <si>
    <t>The rusty star of ineptitude</t>
  </si>
  <si>
    <t>The Brewhemia strategic planning award</t>
  </si>
  <si>
    <t>All drinks at the next draft night are bought by other managers</t>
  </si>
  <si>
    <t>An award that reflects the hours of planning put in by us all. Awarded to the manager who's draft team scores the most points over the course of the season. This is the combined score of all 15 players picked over 38 games regardless of who currently owns them</t>
  </si>
  <si>
    <t>Awarded for the most staggering display of inept planning. The award is given to the manager who has consistently benched the most points over the course of the season</t>
  </si>
  <si>
    <t>Blind bidding trump card. When trump card is played, any bid regardless of other bids, will be won</t>
  </si>
  <si>
    <t>extra 10m blind bid funds to both managers involved</t>
  </si>
  <si>
    <t>Gets to name the team for a manager of their choice</t>
  </si>
  <si>
    <t>the shitehousery-ee gets to steal 5m blind bid funds from the shitehousery-er</t>
  </si>
  <si>
    <t>The "brass ball" award is a cheap imitation of the ballon d'Or and is awarded to the manager who has the highest scoring player whilst in their team. Captaincy points don't count</t>
  </si>
  <si>
    <t>Can declare an "enabler" player (5m or less) that they would like to ringfence during the draft. To declare for themselves at any pick, or just for the sheer spite of stopping others picking them</t>
  </si>
  <si>
    <t>Awarded to the manager for the most outrageous single act of shitehousery over the course of the season. Although shitehousery is an attempt to gain an advantage by unfair means, this can be any moment where one manager benefits at the expense of another, fair or not</t>
  </si>
  <si>
    <t>Matrix</t>
  </si>
  <si>
    <t>code</t>
  </si>
  <si>
    <t>description</t>
  </si>
  <si>
    <t>player_status</t>
  </si>
  <si>
    <t>a</t>
  </si>
  <si>
    <t>available</t>
  </si>
  <si>
    <t>u</t>
  </si>
  <si>
    <t>unavailable</t>
  </si>
  <si>
    <t>d</t>
  </si>
  <si>
    <t>i</t>
  </si>
  <si>
    <t>n</t>
  </si>
  <si>
    <t>s</t>
  </si>
  <si>
    <t>doubtful</t>
  </si>
  <si>
    <t>injured</t>
  </si>
  <si>
    <t>suspended</t>
  </si>
  <si>
    <t>check this</t>
  </si>
  <si>
    <t>position_type</t>
  </si>
  <si>
    <t>D</t>
  </si>
  <si>
    <t>M</t>
  </si>
  <si>
    <t>F</t>
  </si>
  <si>
    <t>GKP</t>
  </si>
  <si>
    <t>player_linkage</t>
  </si>
  <si>
    <t>ID</t>
  </si>
  <si>
    <t>Player</t>
  </si>
  <si>
    <t>Man City</t>
  </si>
  <si>
    <t>Arsenal</t>
  </si>
  <si>
    <t>Liverpool</t>
  </si>
  <si>
    <t>Man Utd</t>
  </si>
  <si>
    <t>B.Fernandes</t>
  </si>
  <si>
    <t>Newcastle</t>
  </si>
  <si>
    <t>J.Timber</t>
  </si>
  <si>
    <t>G.Jesus</t>
  </si>
  <si>
    <t>Kiwior</t>
  </si>
  <si>
    <t>Chelsea</t>
  </si>
  <si>
    <t>Fulham</t>
  </si>
  <si>
    <t>Aston Villa</t>
  </si>
  <si>
    <t>Nkunku</t>
  </si>
  <si>
    <t>Crystal Palace</t>
  </si>
  <si>
    <t>Ederson M.</t>
  </si>
  <si>
    <t>West Ham</t>
  </si>
  <si>
    <t>Brighton</t>
  </si>
  <si>
    <t>Brentford</t>
  </si>
  <si>
    <t>Everton</t>
  </si>
  <si>
    <t>N.Jackson</t>
  </si>
  <si>
    <t>Alex Moreno</t>
  </si>
  <si>
    <t>Pau</t>
  </si>
  <si>
    <t>Szoboszlai</t>
  </si>
  <si>
    <t>Bournemouth</t>
  </si>
  <si>
    <t>Isak</t>
  </si>
  <si>
    <t>Ndiaye</t>
  </si>
  <si>
    <t>Foderingham</t>
  </si>
  <si>
    <t>Verbruggen</t>
  </si>
  <si>
    <t>Antony</t>
  </si>
  <si>
    <t>Van Hecke</t>
  </si>
  <si>
    <t>Virgil</t>
  </si>
  <si>
    <t>Adingra</t>
  </si>
  <si>
    <t>Casemiro</t>
  </si>
  <si>
    <t>Buonanotte</t>
  </si>
  <si>
    <t>McNeil</t>
  </si>
  <si>
    <t>Mudryk</t>
  </si>
  <si>
    <t>Tonali</t>
  </si>
  <si>
    <t>Akanji</t>
  </si>
  <si>
    <t>Tavernier</t>
  </si>
  <si>
    <t>Hill</t>
  </si>
  <si>
    <t>Senesi</t>
  </si>
  <si>
    <t>Zabarnyi</t>
  </si>
  <si>
    <t>Gakpo</t>
  </si>
  <si>
    <t>B.Badiashile</t>
  </si>
  <si>
    <t>Kluivert</t>
  </si>
  <si>
    <t>N.Aguerd</t>
  </si>
  <si>
    <t>O.Dango</t>
  </si>
  <si>
    <t>Semenyo</t>
  </si>
  <si>
    <t>Enzo</t>
  </si>
  <si>
    <t>Damsgaard</t>
  </si>
  <si>
    <t>Wolves</t>
  </si>
  <si>
    <t>Schade</t>
  </si>
  <si>
    <t>Garner</t>
  </si>
  <si>
    <t>Hee Chan</t>
  </si>
  <si>
    <t>Matheus N.</t>
  </si>
  <si>
    <t>Bettinelli</t>
  </si>
  <si>
    <t>Colwill</t>
  </si>
  <si>
    <t>Gusto</t>
  </si>
  <si>
    <t>Hall</t>
  </si>
  <si>
    <t>Gana</t>
  </si>
  <si>
    <t>M.Sarr</t>
  </si>
  <si>
    <t>Madueke</t>
  </si>
  <si>
    <t>Ahamada</t>
  </si>
  <si>
    <t>Garnacho</t>
  </si>
  <si>
    <t>Branthwaite</t>
  </si>
  <si>
    <t>Emerson</t>
  </si>
  <si>
    <t>Young</t>
  </si>
  <si>
    <t>Guedes</t>
  </si>
  <si>
    <t>Onana</t>
  </si>
  <si>
    <t>Cornet</t>
  </si>
  <si>
    <t>Lukic</t>
  </si>
  <si>
    <t>Anderson</t>
  </si>
  <si>
    <t>Bajcetic</t>
  </si>
  <si>
    <t>Hodge</t>
  </si>
  <si>
    <t>Ortega Moreno</t>
  </si>
  <si>
    <t>Bobb</t>
  </si>
  <si>
    <t>Amad</t>
  </si>
  <si>
    <t>Hannibal</t>
  </si>
  <si>
    <t>Mainoo</t>
  </si>
  <si>
    <t>Kuol</t>
  </si>
  <si>
    <t>Hayden</t>
  </si>
  <si>
    <t>Bentley</t>
  </si>
  <si>
    <t>King</t>
  </si>
  <si>
    <t>Hoever</t>
  </si>
  <si>
    <t>Cunha</t>
  </si>
  <si>
    <t>Vicario</t>
  </si>
  <si>
    <t>Pedro Porro</t>
  </si>
  <si>
    <t>Estupinan</t>
  </si>
  <si>
    <t>Ruben</t>
  </si>
  <si>
    <t>Udogie</t>
  </si>
  <si>
    <t>Fabio Silva</t>
  </si>
  <si>
    <t>Joao Pedro</t>
  </si>
  <si>
    <t>Kalajdzic</t>
  </si>
  <si>
    <t>Solomon</t>
  </si>
  <si>
    <t>missing_player_linkage</t>
  </si>
  <si>
    <t>player_check</t>
  </si>
  <si>
    <t>Kerkez</t>
  </si>
  <si>
    <t>Schär</t>
  </si>
  <si>
    <t>Bruno G.</t>
  </si>
  <si>
    <t>Longstaff</t>
  </si>
  <si>
    <t>Nott'm Forest</t>
  </si>
  <si>
    <t>O.Richards</t>
  </si>
  <si>
    <t>Spurs</t>
  </si>
  <si>
    <t>Sessegnon</t>
  </si>
  <si>
    <t>Aït-Nouri</t>
  </si>
  <si>
    <t>Total Points</t>
  </si>
  <si>
    <t>Cost</t>
  </si>
  <si>
    <t>Status</t>
  </si>
  <si>
    <t>Chance of Playing</t>
  </si>
  <si>
    <t>FFS Value</t>
  </si>
  <si>
    <t>WHU</t>
  </si>
  <si>
    <t>BHA</t>
  </si>
  <si>
    <t>NFO</t>
  </si>
  <si>
    <t>FFS Total</t>
  </si>
  <si>
    <t>Owner</t>
  </si>
  <si>
    <t>My current selection</t>
  </si>
  <si>
    <t>players in my draft selection</t>
  </si>
  <si>
    <t>remaining in my draft selection</t>
  </si>
  <si>
    <t>Barnes</t>
  </si>
  <si>
    <t>Aina</t>
  </si>
  <si>
    <t>Igor</t>
  </si>
  <si>
    <t>Maatsen</t>
  </si>
  <si>
    <t>Bassey</t>
  </si>
  <si>
    <t>Calafiori</t>
  </si>
  <si>
    <t>Hein</t>
  </si>
  <si>
    <t>Nwaneri</t>
  </si>
  <si>
    <t>Sousa</t>
  </si>
  <si>
    <t>Gauci</t>
  </si>
  <si>
    <t>Marschall</t>
  </si>
  <si>
    <t>Barkley</t>
  </si>
  <si>
    <t>Barrenechea</t>
  </si>
  <si>
    <t>Dobbin</t>
  </si>
  <si>
    <t>Iling Jr</t>
  </si>
  <si>
    <t>Rogers</t>
  </si>
  <si>
    <t>Enes Unal</t>
  </si>
  <si>
    <t>Paulsen</t>
  </si>
  <si>
    <t>Adams</t>
  </si>
  <si>
    <t>Faivre</t>
  </si>
  <si>
    <t>H.Traore</t>
  </si>
  <si>
    <t>Philip</t>
  </si>
  <si>
    <t>Scott</t>
  </si>
  <si>
    <t>Sinisterra</t>
  </si>
  <si>
    <t>Ji-soo</t>
  </si>
  <si>
    <t>Valdimarsson</t>
  </si>
  <si>
    <t>Konak</t>
  </si>
  <si>
    <t>Peart-Harris</t>
  </si>
  <si>
    <t>Yarmoliuk</t>
  </si>
  <si>
    <t>Baleba</t>
  </si>
  <si>
    <t>Hinshelwood</t>
  </si>
  <si>
    <t>Mazilu</t>
  </si>
  <si>
    <t>Minteh</t>
  </si>
  <si>
    <t>Wieffer</t>
  </si>
  <si>
    <t>Marc Guiu</t>
  </si>
  <si>
    <t>Petrovic</t>
  </si>
  <si>
    <t>Andrey Santos</t>
  </si>
  <si>
    <t>Dewsbury-Hall</t>
  </si>
  <si>
    <t>Lavia</t>
  </si>
  <si>
    <t>Ugochukwu</t>
  </si>
  <si>
    <t>Chadi Riad</t>
  </si>
  <si>
    <t>Munoz</t>
  </si>
  <si>
    <t>Kamada</t>
  </si>
  <si>
    <t>M.Franca</t>
  </si>
  <si>
    <t>Ozoh</t>
  </si>
  <si>
    <t>Wharton</t>
  </si>
  <si>
    <t>Beto</t>
  </si>
  <si>
    <t>Harrison</t>
  </si>
  <si>
    <t>Castagne</t>
  </si>
  <si>
    <t>Raul</t>
  </si>
  <si>
    <t>Benda</t>
  </si>
  <si>
    <t>Adama</t>
  </si>
  <si>
    <t>Harris</t>
  </si>
  <si>
    <t>Clarke</t>
  </si>
  <si>
    <t>Tuanzebe</t>
  </si>
  <si>
    <t>Delap</t>
  </si>
  <si>
    <t>Humphreys</t>
  </si>
  <si>
    <t>Bradley</t>
  </si>
  <si>
    <t>R.Williams</t>
  </si>
  <si>
    <t>A.Becker</t>
  </si>
  <si>
    <t>Carvalho</t>
  </si>
  <si>
    <t>Doak</t>
  </si>
  <si>
    <t>Endo</t>
  </si>
  <si>
    <t>Gravenberch</t>
  </si>
  <si>
    <t>M.Salah</t>
  </si>
  <si>
    <t>McConnell</t>
  </si>
  <si>
    <t>Morton</t>
  </si>
  <si>
    <t>Gvardiol</t>
  </si>
  <si>
    <t>Lewis</t>
  </si>
  <si>
    <t>Doku</t>
  </si>
  <si>
    <t>Yoro</t>
  </si>
  <si>
    <t>Hojlund</t>
  </si>
  <si>
    <t>Zirkzee</t>
  </si>
  <si>
    <t>Bayindir</t>
  </si>
  <si>
    <t>A.Murphy</t>
  </si>
  <si>
    <t>Livramento</t>
  </si>
  <si>
    <t>Pivas</t>
  </si>
  <si>
    <t>Odysseas</t>
  </si>
  <si>
    <t>J.Murphy</t>
  </si>
  <si>
    <t>Milenkovic</t>
  </si>
  <si>
    <t>Murillo</t>
  </si>
  <si>
    <t>N.Williams</t>
  </si>
  <si>
    <t>C.Miguel</t>
  </si>
  <si>
    <t>Sels</t>
  </si>
  <si>
    <t>Da Silva Moreira</t>
  </si>
  <si>
    <t>Dominguez</t>
  </si>
  <si>
    <t>Sangare</t>
  </si>
  <si>
    <t>Edwards</t>
  </si>
  <si>
    <t>Walker-Peters</t>
  </si>
  <si>
    <t>Armstrong</t>
  </si>
  <si>
    <t>Alcaraz</t>
  </si>
  <si>
    <t>Edozie</t>
  </si>
  <si>
    <t>Dragusin</t>
  </si>
  <si>
    <t>Van de Ven</t>
  </si>
  <si>
    <t>Scarlett</t>
  </si>
  <si>
    <t>Bergvall</t>
  </si>
  <si>
    <t>Mavropanos</t>
  </si>
  <si>
    <t>Earthy</t>
  </si>
  <si>
    <t>Irving</t>
  </si>
  <si>
    <t>Kudus</t>
  </si>
  <si>
    <t>L.Guilherme</t>
  </si>
  <si>
    <t>L.Paqueta</t>
  </si>
  <si>
    <t>Ward-Prowse</t>
  </si>
  <si>
    <t>H.Bueno</t>
  </si>
  <si>
    <t>Mosquera</t>
  </si>
  <si>
    <t>Pedro Lima</t>
  </si>
  <si>
    <t>S.Bueno</t>
  </si>
  <si>
    <t>Chiwome</t>
  </si>
  <si>
    <t>Strand Larsen</t>
  </si>
  <si>
    <t>Jose Sa</t>
  </si>
  <si>
    <t>B.Traore</t>
  </si>
  <si>
    <t>Bellegarde</t>
  </si>
  <si>
    <t>Chirewa</t>
  </si>
  <si>
    <t>Gonzalez</t>
  </si>
  <si>
    <t>R.Gomes</t>
  </si>
  <si>
    <t>Summerville</t>
  </si>
  <si>
    <t>J.Cuenca</t>
  </si>
  <si>
    <t>Jorgensen</t>
  </si>
  <si>
    <t>Füllkrug</t>
  </si>
  <si>
    <t>G.Rodriguez</t>
  </si>
  <si>
    <t>Osula</t>
  </si>
  <si>
    <t>Todibo</t>
  </si>
  <si>
    <t>FFS GW5 Total</t>
  </si>
  <si>
    <t>Odegaard</t>
  </si>
  <si>
    <t>J.Araujo</t>
  </si>
  <si>
    <t>De Ligt</t>
  </si>
  <si>
    <t>Mazraoui</t>
  </si>
  <si>
    <t>Ødegaard</t>
  </si>
  <si>
    <t>BUR</t>
  </si>
  <si>
    <t>Fofana</t>
  </si>
  <si>
    <t>Nichols</t>
  </si>
  <si>
    <t>Barry</t>
  </si>
  <si>
    <t>D.Essugo</t>
  </si>
  <si>
    <t>Hladký</t>
  </si>
  <si>
    <t>A.Ramsey</t>
  </si>
  <si>
    <t>Obafemi</t>
  </si>
  <si>
    <t>Paez</t>
  </si>
  <si>
    <t>Benson</t>
  </si>
  <si>
    <t>Gruda</t>
  </si>
  <si>
    <t>Kayode</t>
  </si>
  <si>
    <t>Penders</t>
  </si>
  <si>
    <t>Watson</t>
  </si>
  <si>
    <t>Fredrick</t>
  </si>
  <si>
    <t>Lacroix</t>
  </si>
  <si>
    <t>Bogarde</t>
  </si>
  <si>
    <t>Coppola</t>
  </si>
  <si>
    <t>Tchaouna</t>
  </si>
  <si>
    <t>Amissah</t>
  </si>
  <si>
    <t>Slonina</t>
  </si>
  <si>
    <t>A.García</t>
  </si>
  <si>
    <t>F.Kadioglu</t>
  </si>
  <si>
    <t>Broggio</t>
  </si>
  <si>
    <t>Amdouni</t>
  </si>
  <si>
    <t>Silcott-Duberry</t>
  </si>
  <si>
    <t>Sadi</t>
  </si>
  <si>
    <t>J.Ramsey</t>
  </si>
  <si>
    <t>Boateng</t>
  </si>
  <si>
    <t>Sosa</t>
  </si>
  <si>
    <t>Nørgaard</t>
  </si>
  <si>
    <t>Gittens</t>
  </si>
  <si>
    <t>Cullen</t>
  </si>
  <si>
    <t>João Pedro</t>
  </si>
  <si>
    <t>H.Traorè</t>
  </si>
  <si>
    <t>Setford</t>
  </si>
  <si>
    <t>Fábio Vieira</t>
  </si>
  <si>
    <t>Acheampong</t>
  </si>
  <si>
    <t>Kabia</t>
  </si>
  <si>
    <t>Truffert</t>
  </si>
  <si>
    <t>Jimoh-Aloba</t>
  </si>
  <si>
    <t>Yalcouye</t>
  </si>
  <si>
    <t>Redmond</t>
  </si>
  <si>
    <t>Sambi</t>
  </si>
  <si>
    <t>De Cuyper</t>
  </si>
  <si>
    <t>Anselmino</t>
  </si>
  <si>
    <t>Soler</t>
  </si>
  <si>
    <t>Sherif</t>
  </si>
  <si>
    <t>Kostoulas</t>
  </si>
  <si>
    <t>Tzimas</t>
  </si>
  <si>
    <t>Eyestone</t>
  </si>
  <si>
    <t>Maghoma</t>
  </si>
  <si>
    <t>George</t>
  </si>
  <si>
    <t>Ayari</t>
  </si>
  <si>
    <t>Koleosho</t>
  </si>
  <si>
    <t>Benitez</t>
  </si>
  <si>
    <t>Sambo</t>
  </si>
  <si>
    <t>Estupiñan</t>
  </si>
  <si>
    <t>Jörgensen</t>
  </si>
  <si>
    <t>Balcombe</t>
  </si>
  <si>
    <t>Trevitt</t>
  </si>
  <si>
    <t>Scherpen</t>
  </si>
  <si>
    <t>Evanilson</t>
  </si>
  <si>
    <t>Berge</t>
  </si>
  <si>
    <t>M.Bizot</t>
  </si>
  <si>
    <t>Winterburn</t>
  </si>
  <si>
    <t>Laurent</t>
  </si>
  <si>
    <t>Ekdal</t>
  </si>
  <si>
    <t>Akinmboni</t>
  </si>
  <si>
    <t>Sonne</t>
  </si>
  <si>
    <t>Y.Chermiti</t>
  </si>
  <si>
    <t>Lewis-Skelly</t>
  </si>
  <si>
    <t>Bevan</t>
  </si>
  <si>
    <t>Cox</t>
  </si>
  <si>
    <t>Bruun Larsen</t>
  </si>
  <si>
    <t>Milambo</t>
  </si>
  <si>
    <t>Adewumi</t>
  </si>
  <si>
    <t>Lucas Pires</t>
  </si>
  <si>
    <t>Rushworth</t>
  </si>
  <si>
    <t>Yasin</t>
  </si>
  <si>
    <t>Zubimendi</t>
  </si>
  <si>
    <t>Devenny</t>
  </si>
  <si>
    <t>Doucouré</t>
  </si>
  <si>
    <t>Agbinone</t>
  </si>
  <si>
    <t>Kporha</t>
  </si>
  <si>
    <t>Richards</t>
  </si>
  <si>
    <t>Muñoz</t>
  </si>
  <si>
    <t>M.França</t>
  </si>
  <si>
    <t>Rodney</t>
  </si>
  <si>
    <t>Esse</t>
  </si>
  <si>
    <t>J.Rak-Sakyi</t>
  </si>
  <si>
    <t>Hato</t>
  </si>
  <si>
    <t>Sánchez</t>
  </si>
  <si>
    <t>Trésor</t>
  </si>
  <si>
    <t>Foster</t>
  </si>
  <si>
    <t>Flemming</t>
  </si>
  <si>
    <t>Guéhi</t>
  </si>
  <si>
    <t>Estêvão</t>
  </si>
  <si>
    <t>Heath</t>
  </si>
  <si>
    <t>Ebere</t>
  </si>
  <si>
    <t>Welch</t>
  </si>
  <si>
    <t>Bates</t>
  </si>
  <si>
    <t>Metcalfe</t>
  </si>
  <si>
    <t>Marsh</t>
  </si>
  <si>
    <t>Umeh</t>
  </si>
  <si>
    <t>Édouard</t>
  </si>
  <si>
    <t>Dixon</t>
  </si>
  <si>
    <t>Aznou</t>
  </si>
  <si>
    <t>Tyrer</t>
  </si>
  <si>
    <t>Slater</t>
  </si>
  <si>
    <t>Cashin</t>
  </si>
  <si>
    <t>Tasker</t>
  </si>
  <si>
    <t>Boscagli</t>
  </si>
  <si>
    <t>McGill</t>
  </si>
  <si>
    <t>Knight</t>
  </si>
  <si>
    <t>Moran</t>
  </si>
  <si>
    <t>Georginio</t>
  </si>
  <si>
    <t>Malen</t>
  </si>
  <si>
    <t>Gyökeres</t>
  </si>
  <si>
    <t>Merino</t>
  </si>
  <si>
    <t>Kacurri</t>
  </si>
  <si>
    <t>Buendía</t>
  </si>
  <si>
    <t>Dúbravka</t>
  </si>
  <si>
    <t>Morgan</t>
  </si>
  <si>
    <t>Weiss</t>
  </si>
  <si>
    <t>Green</t>
  </si>
  <si>
    <t>Donovan</t>
  </si>
  <si>
    <t>Nunes</t>
  </si>
  <si>
    <t>Roberts</t>
  </si>
  <si>
    <t>Jordan</t>
  </si>
  <si>
    <t>Churlinov</t>
  </si>
  <si>
    <t>Banel</t>
  </si>
  <si>
    <t>Dodgson</t>
  </si>
  <si>
    <t>Delcroix</t>
  </si>
  <si>
    <t>Hartman</t>
  </si>
  <si>
    <t>Estève</t>
  </si>
  <si>
    <t>Sima</t>
  </si>
  <si>
    <t>O'Riley</t>
  </si>
  <si>
    <t>McKenna</t>
  </si>
  <si>
    <t>Arthur</t>
  </si>
  <si>
    <t>Meghoma</t>
  </si>
  <si>
    <t>Enes Ünal</t>
  </si>
  <si>
    <t>Adu-Adjei</t>
  </si>
  <si>
    <t>Kroupi.Jr</t>
  </si>
  <si>
    <t>Gyokeres</t>
  </si>
  <si>
    <t>A.Garcia</t>
  </si>
  <si>
    <t>Burnley</t>
  </si>
  <si>
    <t>Esteve</t>
  </si>
  <si>
    <t>Hladky</t>
  </si>
  <si>
    <t>Tresor</t>
  </si>
  <si>
    <t>Estêvao</t>
  </si>
  <si>
    <t>Doucoure</t>
  </si>
  <si>
    <t>Lecomte</t>
  </si>
  <si>
    <t>Godo</t>
  </si>
  <si>
    <t>Bijol</t>
  </si>
  <si>
    <t>Leeds</t>
  </si>
  <si>
    <t>Bogle</t>
  </si>
  <si>
    <t>Bornauw</t>
  </si>
  <si>
    <t>Byram</t>
  </si>
  <si>
    <t>Gudmundsson</t>
  </si>
  <si>
    <t>Rodon</t>
  </si>
  <si>
    <t>Schmidt</t>
  </si>
  <si>
    <t>Struijk</t>
  </si>
  <si>
    <t>Bamford</t>
  </si>
  <si>
    <t>Mateo Joseph</t>
  </si>
  <si>
    <t>Nmecha</t>
  </si>
  <si>
    <t>Piroe</t>
  </si>
  <si>
    <t>Cairns</t>
  </si>
  <si>
    <t>Darlow</t>
  </si>
  <si>
    <t>Meslier</t>
  </si>
  <si>
    <t>Perri</t>
  </si>
  <si>
    <t>Aaronson</t>
  </si>
  <si>
    <t>Ampadu</t>
  </si>
  <si>
    <t>Crew</t>
  </si>
  <si>
    <t>Gelhardt</t>
  </si>
  <si>
    <t>Gnonto</t>
  </si>
  <si>
    <t>Greenwood</t>
  </si>
  <si>
    <t>Gruev</t>
  </si>
  <si>
    <t>Gyabi</t>
  </si>
  <si>
    <t>Ramazani</t>
  </si>
  <si>
    <t>Stach</t>
  </si>
  <si>
    <t>Tanaka</t>
  </si>
  <si>
    <t>Frimpong</t>
  </si>
  <si>
    <t>Nallo</t>
  </si>
  <si>
    <t>Ramsay</t>
  </si>
  <si>
    <t>Danns</t>
  </si>
  <si>
    <t>Ekitike</t>
  </si>
  <si>
    <t>Mamardashvili</t>
  </si>
  <si>
    <t>Pecsi</t>
  </si>
  <si>
    <t>Woodman</t>
  </si>
  <si>
    <t>C.Jones</t>
  </si>
  <si>
    <t>Chiesa</t>
  </si>
  <si>
    <t>Nyoni</t>
  </si>
  <si>
    <t>Wirtz</t>
  </si>
  <si>
    <t>Khusanov</t>
  </si>
  <si>
    <t>O’Reilly</t>
  </si>
  <si>
    <t>Vitor Reis</t>
  </si>
  <si>
    <t>Trafford</t>
  </si>
  <si>
    <t>Cherki</t>
  </si>
  <si>
    <t>Echeverri</t>
  </si>
  <si>
    <t>Gundogan</t>
  </si>
  <si>
    <t>Marmoush</t>
  </si>
  <si>
    <t>N.Gonzalez</t>
  </si>
  <si>
    <t>Nypan</t>
  </si>
  <si>
    <t>Reijnders</t>
  </si>
  <si>
    <t>Savinho</t>
  </si>
  <si>
    <t>Amass</t>
  </si>
  <si>
    <t>D.Leon</t>
  </si>
  <si>
    <t>Dorgu</t>
  </si>
  <si>
    <t>Fredricson</t>
  </si>
  <si>
    <t>Heaven</t>
  </si>
  <si>
    <t>Obi</t>
  </si>
  <si>
    <t>Wheatley</t>
  </si>
  <si>
    <t>Collyer</t>
  </si>
  <si>
    <t>Fitzgerald</t>
  </si>
  <si>
    <t>J.Fletcher</t>
  </si>
  <si>
    <t>Kone</t>
  </si>
  <si>
    <t>Moorhouse</t>
  </si>
  <si>
    <t>Ugarte</t>
  </si>
  <si>
    <t>Ashby</t>
  </si>
  <si>
    <t>Neave</t>
  </si>
  <si>
    <t>Gillespie</t>
  </si>
  <si>
    <t>Antonito C.</t>
  </si>
  <si>
    <t>L.Miley</t>
  </si>
  <si>
    <t>Abbott</t>
  </si>
  <si>
    <t>David Carmo</t>
  </si>
  <si>
    <t>Jair Cunha</t>
  </si>
  <si>
    <t>Morato</t>
  </si>
  <si>
    <t>Igor Jesus</t>
  </si>
  <si>
    <t>Jota</t>
  </si>
  <si>
    <t>Ndoye</t>
  </si>
  <si>
    <t>Stamenic</t>
  </si>
  <si>
    <t>Danso</t>
  </si>
  <si>
    <t>Takai</t>
  </si>
  <si>
    <t>Vuskovic</t>
  </si>
  <si>
    <t>Lankshear</t>
  </si>
  <si>
    <t>Kinsky</t>
  </si>
  <si>
    <t>J.Palhinha</t>
  </si>
  <si>
    <t>Min-hyeok</t>
  </si>
  <si>
    <t>Moore</t>
  </si>
  <si>
    <t>Odobert</t>
  </si>
  <si>
    <t>Olusesi</t>
  </si>
  <si>
    <t>P.M.Sarr</t>
  </si>
  <si>
    <t>Tel</t>
  </si>
  <si>
    <t>Alese</t>
  </si>
  <si>
    <t>Sunderland</t>
  </si>
  <si>
    <t>Ballard</t>
  </si>
  <si>
    <t>Cirkin</t>
  </si>
  <si>
    <t>Hjelde</t>
  </si>
  <si>
    <t>Huggins</t>
  </si>
  <si>
    <t>Hume</t>
  </si>
  <si>
    <t>O'Nien</t>
  </si>
  <si>
    <t>Pembele</t>
  </si>
  <si>
    <t>Reinildo</t>
  </si>
  <si>
    <t>Seelt</t>
  </si>
  <si>
    <t>Abdullahi</t>
  </si>
  <si>
    <t>Isidor</t>
  </si>
  <si>
    <t>Luis Hemir</t>
  </si>
  <si>
    <t>Mayenda</t>
  </si>
  <si>
    <t>Rusyn</t>
  </si>
  <si>
    <t>Nna Noukeu</t>
  </si>
  <si>
    <t>Roefs</t>
  </si>
  <si>
    <t>Aleksic</t>
  </si>
  <si>
    <t>Ba</t>
  </si>
  <si>
    <t>Browne</t>
  </si>
  <si>
    <t>Diarra</t>
  </si>
  <si>
    <t>E.Le Fee</t>
  </si>
  <si>
    <t>Ekwah</t>
  </si>
  <si>
    <t>H.Jones</t>
  </si>
  <si>
    <t>Matete</t>
  </si>
  <si>
    <t>Mundle</t>
  </si>
  <si>
    <t>Neil</t>
  </si>
  <si>
    <t>Poveda</t>
  </si>
  <si>
    <t>Rigg</t>
  </si>
  <si>
    <t>Sadiki</t>
  </si>
  <si>
    <t>Talbi</t>
  </si>
  <si>
    <t>Triantis</t>
  </si>
  <si>
    <t>Xhaka</t>
  </si>
  <si>
    <t>Casey</t>
  </si>
  <si>
    <t>Diouf</t>
  </si>
  <si>
    <t>Scarles</t>
  </si>
  <si>
    <t>Fullkrug</t>
  </si>
  <si>
    <t>Marshall</t>
  </si>
  <si>
    <t>Hegyi</t>
  </si>
  <si>
    <t>Orford</t>
  </si>
  <si>
    <t>Potts</t>
  </si>
  <si>
    <t>Agbadou</t>
  </si>
  <si>
    <t>Meupiyou</t>
  </si>
  <si>
    <t>Pond</t>
  </si>
  <si>
    <t>Andre</t>
  </si>
  <si>
    <t>Fer Lopez</t>
  </si>
  <si>
    <t>Gomes</t>
  </si>
  <si>
    <t>J.Arias</t>
  </si>
  <si>
    <t>Munetsi</t>
  </si>
  <si>
    <t>SUN</t>
  </si>
  <si>
    <t>E.Le Fée</t>
  </si>
  <si>
    <t>Luís Hemir</t>
  </si>
  <si>
    <t>Gunn</t>
  </si>
  <si>
    <t>Antoñito C.</t>
  </si>
  <si>
    <t>Sangaré</t>
  </si>
  <si>
    <t>José Sá</t>
  </si>
  <si>
    <t>L.Paquetá</t>
  </si>
  <si>
    <t>Kalajdžic</t>
  </si>
  <si>
    <t>Fábio Silva</t>
  </si>
  <si>
    <t>André</t>
  </si>
  <si>
    <t>Fer López</t>
  </si>
  <si>
    <t>Álvarez</t>
  </si>
  <si>
    <t>LEE</t>
  </si>
  <si>
    <t>Pécsi</t>
  </si>
  <si>
    <t>Luis Díaz</t>
  </si>
  <si>
    <t>Konaté</t>
  </si>
  <si>
    <t>Raúl</t>
  </si>
  <si>
    <t>Højlund</t>
  </si>
  <si>
    <t>Rúben</t>
  </si>
  <si>
    <t>Ekitiké</t>
  </si>
  <si>
    <t>Aké</t>
  </si>
  <si>
    <t>Gündogan</t>
  </si>
  <si>
    <t>Note</t>
  </si>
  <si>
    <t>*****</t>
  </si>
  <si>
    <t>****</t>
  </si>
  <si>
    <t>**</t>
  </si>
  <si>
    <t>***</t>
  </si>
  <si>
    <t>******</t>
  </si>
  <si>
    <t>Guessand</t>
  </si>
  <si>
    <t>Broja</t>
  </si>
  <si>
    <t>Šesko</t>
  </si>
  <si>
    <t>Masuaku</t>
  </si>
  <si>
    <t>Hermansen</t>
  </si>
  <si>
    <t>Šeško</t>
  </si>
  <si>
    <t>Steven</t>
  </si>
  <si>
    <t>Keith</t>
  </si>
  <si>
    <t>Simon</t>
  </si>
  <si>
    <t>Walid</t>
  </si>
  <si>
    <t>Gav</t>
  </si>
  <si>
    <t>Andy</t>
  </si>
  <si>
    <t>Donnarumma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</si>
</sst>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quot;m&quot;"/>
  </numFmts>
  <fonts count="8" x14ac:knownFonts="1">
    <font>
      <sz val="10"/>
      <color theme="1"/>
      <name val="Century Gothic"/>
      <family val="2"/>
    </font>
    <font>
      <sz val="10"/>
      <color theme="0"/>
      <name val="Century Gothic"/>
      <family val="2"/>
    </font>
    <font>
      <sz val="10"/>
      <color theme="1" tint="0.249977111117893"/>
      <name val="Century Gothic"/>
      <family val="2"/>
    </font>
    <font>
      <b/>
      <sz val="20"/>
      <color rgb="FF37003C"/>
      <name val="Century Gothic"/>
      <family val="2"/>
    </font>
    <font>
      <b/>
      <sz val="10"/>
      <color theme="0"/>
      <name val="Century Gothic"/>
      <family val="2"/>
    </font>
    <font>
      <sz val="10"/>
      <color rgb="FF37003C"/>
      <name val="Century Gothic"/>
      <family val="2"/>
    </font>
    <font>
      <b/>
      <sz val="10"/>
      <color theme="1" tint="0.249977111117893"/>
      <name val="Century Gothic"/>
      <family val="2"/>
    </font>
    <font>
      <sz val="8"/>
      <name val="Century Gothic"/>
      <family val="2"/>
    </font>
  </fonts>
  <fills count="5">
    <fill>
      <patternFill patternType="none"/>
    </fill>
    <fill>
      <patternFill patternType="gray125"/>
    </fill>
    <fill>
      <patternFill patternType="solid">
        <fgColor rgb="FF37003C"/>
        <bgColor indexed="64"/>
      </patternFill>
    </fill>
    <fill>
      <patternFill patternType="solid">
        <fgColor theme="8" tint="-0.499984740745262"/>
        <bgColor indexed="64"/>
      </patternFill>
    </fill>
    <fill>
      <patternFill patternType="solid">
        <fgColor theme="0" tint="-4.9989318521683403E-2"/>
        <bgColor indexed="64"/>
      </patternFill>
    </fill>
  </fills>
  <borders count="12">
    <border>
      <left/>
      <right/>
      <top/>
      <bottom/>
      <diagonal/>
    </border>
    <border>
      <left style="thin">
        <color rgb="FF37003C"/>
      </left>
      <right style="thin">
        <color rgb="FF37003C"/>
      </right>
      <top style="thin">
        <color rgb="FF37003C"/>
      </top>
      <bottom style="thin">
        <color rgb="FF37003C"/>
      </bottom>
      <diagonal/>
    </border>
    <border>
      <left style="thin">
        <color rgb="FF37003C"/>
      </left>
      <right style="thin">
        <color rgb="FF37003C"/>
      </right>
      <top style="thin">
        <color rgb="FF37003C"/>
      </top>
      <bottom/>
      <diagonal/>
    </border>
    <border>
      <left style="thin">
        <color rgb="FF37003C"/>
      </left>
      <right style="thin">
        <color rgb="FF37003C"/>
      </right>
      <top/>
      <bottom/>
      <diagonal/>
    </border>
    <border>
      <left style="thin">
        <color rgb="FF37003C"/>
      </left>
      <right style="thin">
        <color rgb="FF37003C"/>
      </right>
      <top/>
      <bottom style="thin">
        <color rgb="FF37003C"/>
      </bottom>
      <diagonal/>
    </border>
    <border>
      <left style="thin">
        <color rgb="FF37003C"/>
      </left>
      <right/>
      <top/>
      <bottom style="thin">
        <color rgb="FF37003C"/>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n">
        <color theme="0" tint="-0.24994659260841701"/>
      </left>
      <right style="thin">
        <color theme="0" tint="-0.24994659260841701"/>
      </right>
      <top/>
      <bottom style="thin">
        <color theme="0" tint="-0.24994659260841701"/>
      </bottom>
      <diagonal/>
    </border>
    <border>
      <left/>
      <right/>
      <top/>
      <bottom style="thin">
        <color rgb="FF37003C"/>
      </bottom>
      <diagonal/>
    </border>
    <border>
      <left style="thin">
        <color rgb="FF37003C"/>
      </left>
      <right/>
      <top style="thin">
        <color rgb="FF37003C"/>
      </top>
      <bottom style="thin">
        <color rgb="FF37003C"/>
      </bottom>
      <diagonal/>
    </border>
    <border>
      <left/>
      <right style="thin">
        <color rgb="FF37003C"/>
      </right>
      <top style="thin">
        <color rgb="FF37003C"/>
      </top>
      <bottom style="thin">
        <color rgb="FF37003C"/>
      </bottom>
      <diagonal/>
    </border>
  </borders>
  <cellStyleXfs count="1">
    <xf numFmtId="0" fontId="0" fillId="0" borderId="0"/>
  </cellStyleXfs>
  <cellXfs count="38">
    <xf numFmtId="0" fontId="0" fillId="0" borderId="0" xfId="0"/>
    <xf numFmtId="0" fontId="2" fillId="0" borderId="0" xfId="0" applyFont="1"/>
    <xf numFmtId="0" fontId="1" fillId="0" borderId="0" xfId="0" applyFont="1" applyAlignment="1">
      <alignment horizontal="left"/>
    </xf>
    <xf numFmtId="0" fontId="3" fillId="0" borderId="0" xfId="0" applyFont="1" applyAlignment="1">
      <alignment vertical="center"/>
    </xf>
    <xf numFmtId="0" fontId="1" fillId="0" borderId="0" xfId="0" applyFont="1" applyAlignment="1">
      <alignment horizontal="center"/>
    </xf>
    <xf numFmtId="0" fontId="2" fillId="0" borderId="0" xfId="0" applyFont="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1" fillId="2" borderId="2" xfId="0" applyFont="1" applyFill="1" applyBorder="1"/>
    <xf numFmtId="0" fontId="1" fillId="2" borderId="4" xfId="0" applyFont="1" applyFill="1" applyBorder="1"/>
    <xf numFmtId="0" fontId="1" fillId="2" borderId="1" xfId="0" applyFont="1" applyFill="1" applyBorder="1" applyAlignment="1">
      <alignment horizontal="center"/>
    </xf>
    <xf numFmtId="164" fontId="2" fillId="0" borderId="1" xfId="0" applyNumberFormat="1" applyFont="1" applyBorder="1" applyAlignment="1">
      <alignment horizontal="center"/>
    </xf>
    <xf numFmtId="0" fontId="1" fillId="2" borderId="5" xfId="0" applyFont="1" applyFill="1" applyBorder="1"/>
    <xf numFmtId="0" fontId="0" fillId="0" borderId="0" xfId="0" applyAlignment="1">
      <alignment vertical="center"/>
    </xf>
    <xf numFmtId="0" fontId="0" fillId="0" borderId="7" xfId="0" applyBorder="1" applyAlignment="1">
      <alignment vertical="center" wrapText="1"/>
    </xf>
    <xf numFmtId="0" fontId="0" fillId="0" borderId="8" xfId="0" applyBorder="1" applyAlignment="1">
      <alignment vertical="center" wrapText="1"/>
    </xf>
    <xf numFmtId="0" fontId="1" fillId="3" borderId="6" xfId="0" applyFont="1" applyFill="1" applyBorder="1"/>
    <xf numFmtId="0" fontId="0" fillId="4" borderId="7" xfId="0" applyFill="1" applyBorder="1" applyAlignment="1">
      <alignment vertical="center" wrapText="1"/>
    </xf>
    <xf numFmtId="0" fontId="0" fillId="4" borderId="7" xfId="0" applyFill="1" applyBorder="1" applyAlignment="1">
      <alignment horizontal="left" vertical="center" wrapText="1"/>
    </xf>
    <xf numFmtId="0" fontId="0" fillId="0" borderId="9" xfId="0" applyBorder="1"/>
    <xf numFmtId="0" fontId="5" fillId="0" borderId="9" xfId="0" applyFont="1" applyBorder="1"/>
    <xf numFmtId="0" fontId="0" fillId="0" borderId="0" xfId="0" applyAlignment="1">
      <alignment horizontal="left"/>
    </xf>
    <xf numFmtId="2" fontId="0" fillId="0" borderId="0" xfId="0" applyNumberFormat="1" applyAlignment="1">
      <alignment horizontal="left"/>
    </xf>
    <xf numFmtId="9" fontId="0" fillId="0" borderId="0" xfId="0" applyNumberFormat="1" applyAlignment="1">
      <alignment horizontal="left"/>
    </xf>
    <xf numFmtId="2" fontId="0" fillId="0" borderId="0" xfId="0" applyNumberFormat="1" applyAlignment="1">
      <alignment horizontal="right"/>
    </xf>
    <xf numFmtId="0" fontId="0" fillId="0" borderId="0" xfId="0" applyAlignment="1">
      <alignment horizontal="right"/>
    </xf>
    <xf numFmtId="165" fontId="0" fillId="0" borderId="0" xfId="0" applyNumberFormat="1" applyAlignment="1">
      <alignment horizontal="right"/>
    </xf>
    <xf numFmtId="0" fontId="0" fillId="0" borderId="0" xfId="0" applyAlignment="1">
      <alignment horizontal="left" vertical="top" wrapText="1"/>
    </xf>
    <xf numFmtId="0" fontId="0" fillId="0" borderId="0" xfId="0" applyAlignment="1">
      <alignment horizontal="right" vertical="top" wrapText="1"/>
    </xf>
    <xf numFmtId="0" fontId="4" fillId="2" borderId="0" xfId="0" applyFont="1" applyFill="1"/>
    <xf numFmtId="0" fontId="6" fillId="0" borderId="4" xfId="0" applyFont="1" applyBorder="1" applyAlignment="1">
      <alignment horizontal="center"/>
    </xf>
    <xf numFmtId="0" fontId="0" fillId="0" borderId="0" xfId="0" applyAlignment="1">
      <alignment vertical="top" wrapText="1"/>
    </xf>
    <xf numFmtId="2" fontId="0" fillId="0" borderId="0" xfId="0" applyNumberFormat="1"/>
    <xf numFmtId="0" fontId="6" fillId="0" borderId="0" xfId="0" applyFont="1" applyAlignment="1">
      <alignment horizontal="center"/>
    </xf>
    <xf numFmtId="1" fontId="0" fillId="0" borderId="0" xfId="0" applyNumberFormat="1" applyAlignment="1">
      <alignment horizontal="center"/>
    </xf>
    <xf numFmtId="0" fontId="1" fillId="2" borderId="10" xfId="0" applyFont="1" applyFill="1" applyBorder="1" applyAlignment="1">
      <alignment horizontal="left"/>
    </xf>
    <xf numFmtId="0" fontId="1" fillId="2" borderId="11" xfId="0" applyFont="1" applyFill="1" applyBorder="1" applyAlignment="1">
      <alignment horizontal="left"/>
    </xf>
    <xf numFmtId="0" fontId="0" fillId="0" borderId="0" xfId="0" applyNumberFormat="1" applyAlignment="1">
      <alignment horizontal="left"/>
    </xf>
  </cellXfs>
  <cellStyles count="1">
    <cellStyle name="Normal" xfId="0" builtinId="0"/>
  </cellStyles>
  <dxfs count="41">
    <dxf>
      <fill>
        <patternFill>
          <bgColor theme="9" tint="0.79998168889431442"/>
        </patternFill>
      </fill>
    </dxf>
    <dxf>
      <fill>
        <patternFill>
          <bgColor theme="5" tint="0.59996337778862885"/>
        </patternFill>
      </fill>
    </dxf>
    <dxf>
      <fill>
        <patternFill>
          <bgColor theme="9" tint="0.79998168889431442"/>
        </patternFill>
      </fill>
    </dxf>
    <dxf>
      <fill>
        <patternFill>
          <bgColor theme="5" tint="0.59996337778862885"/>
        </patternFill>
      </fill>
    </dxf>
    <dxf>
      <font>
        <strike/>
      </font>
    </dxf>
    <dxf>
      <fill>
        <patternFill>
          <bgColor theme="9" tint="0.79998168889431442"/>
        </patternFill>
      </fill>
    </dxf>
    <dxf>
      <font>
        <strike/>
      </font>
    </dxf>
    <dxf>
      <fill>
        <patternFill>
          <bgColor theme="5" tint="0.59996337778862885"/>
        </patternFill>
      </fill>
    </dxf>
    <dxf>
      <fill>
        <patternFill>
          <bgColor theme="9" tint="0.79998168889431442"/>
        </patternFill>
      </fill>
    </dxf>
    <dxf>
      <font>
        <strike/>
      </font>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theme="1" tint="0.249977111117893"/>
        <name val="Century Gothic"/>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tint="0.249977111117893"/>
        <name val="Century Gothic"/>
        <family val="2"/>
        <scheme val="none"/>
      </font>
    </dxf>
    <dxf>
      <font>
        <b val="0"/>
        <i val="0"/>
        <strike val="0"/>
        <condense val="0"/>
        <extend val="0"/>
        <outline val="0"/>
        <shadow val="0"/>
        <u val="none"/>
        <vertAlign val="baseline"/>
        <sz val="10"/>
        <color theme="1" tint="0.249977111117893"/>
        <name val="Century Gothic"/>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tint="0.249977111117893"/>
        <name val="Century Gothic"/>
        <family val="2"/>
        <scheme val="none"/>
      </font>
    </dxf>
    <dxf>
      <font>
        <b val="0"/>
        <i val="0"/>
        <strike val="0"/>
        <condense val="0"/>
        <extend val="0"/>
        <outline val="0"/>
        <shadow val="0"/>
        <u val="none"/>
        <vertAlign val="baseline"/>
        <sz val="10"/>
        <color theme="0"/>
        <name val="Century Gothic"/>
        <family val="2"/>
        <scheme val="none"/>
      </font>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2" formatCode="0.00"/>
      <alignment horizontal="right" vertical="bottom" textRotation="0" wrapText="0" indent="0" justifyLastLine="0" shrinkToFit="0" readingOrder="0"/>
    </dxf>
    <dxf>
      <numFmt numFmtId="2" formatCode="0.00"/>
    </dxf>
    <dxf>
      <numFmt numFmtId="2" formatCode="0.00"/>
      <alignment horizontal="right" vertical="bottom" textRotation="0" wrapText="0" indent="0" justifyLastLine="0" shrinkToFit="0" readingOrder="0"/>
    </dxf>
    <dxf>
      <numFmt numFmtId="13" formatCode="0%"/>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165" formatCode="0.0&quot;m&quot;"/>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top" textRotation="0" wrapText="1" indent="0" justifyLastLine="0" shrinkToFit="0" readingOrder="0"/>
    </dxf>
    <dxf>
      <fill>
        <patternFill patternType="solid">
          <fgColor theme="4" tint="0.79995117038483843"/>
          <bgColor theme="0" tint="-4.9989318521683403E-2"/>
        </patternFill>
      </fill>
    </dxf>
    <dxf>
      <font>
        <b val="0"/>
        <i val="0"/>
        <color theme="0"/>
      </font>
      <fill>
        <patternFill patternType="solid">
          <fgColor theme="4"/>
          <bgColor rgb="FF37003C"/>
        </patternFill>
      </fill>
      <border diagonalUp="0" diagonalDown="0">
        <left/>
        <right/>
        <top/>
        <bottom/>
        <vertical/>
        <horizontal/>
      </border>
    </dxf>
    <dxf>
      <font>
        <color theme="1" tint="0.24994659260841701"/>
      </font>
      <border diagonalUp="0" diagonalDown="0">
        <left/>
        <right/>
        <top/>
        <bottom/>
        <vertical/>
        <horizontal/>
      </border>
    </dxf>
  </dxfs>
  <tableStyles count="1" defaultTableStyle="flp_table" defaultPivotStyle="PivotStyleLight16">
    <tableStyle name="flp_table" pivot="0" count="3" xr9:uid="{0A1C13AE-39D4-4B19-81C7-48D72A2400D6}">
      <tableStyleElement type="wholeTable" dxfId="40"/>
      <tableStyleElement type="headerRow" dxfId="39"/>
      <tableStyleElement type="firstRowStripe" dxfId="38"/>
    </tableStyle>
  </tableStyles>
  <colors>
    <mruColors>
      <color rgb="FF37003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15</xdr:col>
      <xdr:colOff>450273</xdr:colOff>
      <xdr:row>1</xdr:row>
      <xdr:rowOff>647</xdr:rowOff>
    </xdr:from>
    <xdr:to>
      <xdr:col>16</xdr:col>
      <xdr:colOff>20136</xdr:colOff>
      <xdr:row>2</xdr:row>
      <xdr:rowOff>0</xdr:rowOff>
    </xdr:to>
    <xdr:pic>
      <xdr:nvPicPr>
        <xdr:cNvPr id="3" name="Picture 2">
          <a:extLst>
            <a:ext uri="{FF2B5EF4-FFF2-40B4-BE49-F238E27FC236}">
              <a16:creationId xmlns:a16="http://schemas.microsoft.com/office/drawing/2014/main" id="{6B982A4A-AE92-4895-B17B-85B7040F44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65228" y="173829"/>
          <a:ext cx="955317" cy="95185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1648472</xdr:colOff>
      <xdr:row>1</xdr:row>
      <xdr:rowOff>0</xdr:rowOff>
    </xdr:from>
    <xdr:to>
      <xdr:col>4</xdr:col>
      <xdr:colOff>0</xdr:colOff>
      <xdr:row>1</xdr:row>
      <xdr:rowOff>951853</xdr:rowOff>
    </xdr:to>
    <xdr:pic>
      <xdr:nvPicPr>
        <xdr:cNvPr id="3" name="Picture 2">
          <a:extLst>
            <a:ext uri="{FF2B5EF4-FFF2-40B4-BE49-F238E27FC236}">
              <a16:creationId xmlns:a16="http://schemas.microsoft.com/office/drawing/2014/main" id="{41ABFD0E-D26D-4F24-8434-4BB66E45FF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10472" y="171450"/>
          <a:ext cx="951853" cy="95185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20</xdr:col>
      <xdr:colOff>0</xdr:colOff>
      <xdr:row>1</xdr:row>
      <xdr:rowOff>647</xdr:rowOff>
    </xdr:from>
    <xdr:to>
      <xdr:col>20</xdr:col>
      <xdr:colOff>951853</xdr:colOff>
      <xdr:row>2</xdr:row>
      <xdr:rowOff>0</xdr:rowOff>
    </xdr:to>
    <xdr:pic>
      <xdr:nvPicPr>
        <xdr:cNvPr id="4" name="Picture 3">
          <a:extLst>
            <a:ext uri="{FF2B5EF4-FFF2-40B4-BE49-F238E27FC236}">
              <a16:creationId xmlns:a16="http://schemas.microsoft.com/office/drawing/2014/main" id="{92376BCF-C85C-47E9-BCE6-B0992C6AC6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363825" y="172097"/>
          <a:ext cx="951853" cy="951853"/>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adjustColumnWidth="0" connectionId="3" xr16:uid="{FCBC293F-FA40-4690-8BD1-476A29298D09}" autoFormatId="16" applyNumberFormats="0" applyBorderFormats="0" applyFontFormats="0" applyPatternFormats="0" applyAlignmentFormats="0" applyWidthHeightFormats="0">
  <queryTableRefresh nextId="22" unboundColumnsRight="4">
    <queryTableFields count="15">
      <queryTableField id="1" name="ID" tableColumnId="1"/>
      <queryTableField id="2" name="Player" tableColumnId="2"/>
      <queryTableField id="3" name="Position" tableColumnId="3"/>
      <queryTableField id="4" name="Team" tableColumnId="4"/>
      <queryTableField id="6" name="Total Points" tableColumnId="6"/>
      <queryTableField id="7" name="Cost" tableColumnId="7"/>
      <queryTableField id="8" name="Status" tableColumnId="8"/>
      <queryTableField id="9" name="Chance of Playing" tableColumnId="9"/>
      <queryTableField id="12" name="FFS Total" tableColumnId="12"/>
      <queryTableField id="19" name="FFS GW5 Total" tableColumnId="5"/>
      <queryTableField id="11" name="FFS Value" tableColumnId="11"/>
      <queryTableField id="14" dataBound="0" tableColumnId="13"/>
      <queryTableField id="21" dataBound="0" tableColumnId="10"/>
      <queryTableField id="15" dataBound="0" tableColumnId="14"/>
      <queryTableField id="17" dataBound="0"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adjustColumnWidth="0" connectionId="4" xr16:uid="{BD871DBC-9CBE-4D67-A85F-90B36A32EEB4}" autoFormatId="16" applyNumberFormats="0" applyBorderFormats="0" applyFontFormats="0" applyPatternFormats="0" applyAlignmentFormats="0" applyWidthHeightFormats="0">
  <queryTableRefresh nextId="6">
    <queryTableFields count="4">
      <queryTableField id="1" name="ID" tableColumnId="1"/>
      <queryTableField id="2" name="Player" tableColumnId="2"/>
      <queryTableField id="3" name="Position" tableColumnId="3"/>
      <queryTableField id="4" name="Team" tableColumnId="4"/>
    </queryTableFields>
    <queryTableDeletedFields count="1">
      <deletedField name="total_gw5"/>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adjustColumnWidth="0" connectionId="5" xr16:uid="{D7CA1128-B49D-48B5-9EF0-1182F2055323}" autoFormatId="16" applyNumberFormats="0" applyBorderFormats="0" applyFontFormats="0" applyPatternFormats="0" applyAlignmentFormats="0" applyWidthHeightFormats="0">
  <queryTableRefresh nextId="6">
    <queryTableFields count="4">
      <queryTableField id="1" name="ID" tableColumnId="1"/>
      <queryTableField id="2" name="Player" tableColumnId="2"/>
      <queryTableField id="3" name="Position" tableColumnId="3"/>
      <queryTableField id="4" name="Team"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2094059-D90B-4D65-A9B7-A605B091BF35}" name="Table_master_data" displayName="Table_master_data" ref="B9:P691" tableType="queryTable" totalsRowShown="0" headerRowDxfId="37" dataDxfId="36">
  <autoFilter ref="B9:P691" xr:uid="{D2094059-D90B-4D65-A9B7-A605B091BF35}"/>
  <sortState xmlns:xlrd2="http://schemas.microsoft.com/office/spreadsheetml/2017/richdata2" ref="B10:P691">
    <sortCondition descending="1" ref="J9:J691"/>
  </sortState>
  <tableColumns count="15">
    <tableColumn id="1" xr3:uid="{F11E2EA5-D04C-4C1B-9AD4-ACFA8EB9A4FE}" uniqueName="1" name="ID" queryTableFieldId="1" dataDxfId="35"/>
    <tableColumn id="2" xr3:uid="{E5273666-0982-460F-AA4D-E1C1C67F9187}" uniqueName="2" name="Player" queryTableFieldId="2" dataDxfId="34"/>
    <tableColumn id="3" xr3:uid="{44D4C90B-56ED-464C-9234-BC7B723B166D}" uniqueName="3" name="Position" queryTableFieldId="3" dataDxfId="33"/>
    <tableColumn id="4" xr3:uid="{6C0B3871-E7E0-42E6-B19C-98BC41554BD0}" uniqueName="4" name="Team" queryTableFieldId="4" dataDxfId="32"/>
    <tableColumn id="6" xr3:uid="{0D2368A0-7989-4A13-A08F-EDA166BB4B93}" uniqueName="6" name="Total Points" queryTableFieldId="6" dataDxfId="31"/>
    <tableColumn id="7" xr3:uid="{0FBA0B5C-6B9E-425F-8E13-AF2C3A48496C}" uniqueName="7" name="Cost" queryTableFieldId="7" dataDxfId="30"/>
    <tableColumn id="8" xr3:uid="{53B5AE65-F85A-42E7-81D8-AB95E5A88A1F}" uniqueName="8" name="Status" queryTableFieldId="8" dataDxfId="29"/>
    <tableColumn id="9" xr3:uid="{970E711A-91BA-438B-ADEC-DCC0B20A63B6}" uniqueName="9" name="Chance of Playing" queryTableFieldId="9" dataDxfId="28"/>
    <tableColumn id="12" xr3:uid="{9572521C-85FC-4FE1-BBA1-5A98453556B9}" uniqueName="12" name="FFS Total" queryTableFieldId="12" dataDxfId="27"/>
    <tableColumn id="5" xr3:uid="{8F06D00D-D781-457B-8F68-3826461C37CD}" uniqueName="5" name="FFS GW5 Total" queryTableFieldId="19" dataDxfId="26"/>
    <tableColumn id="11" xr3:uid="{72562D29-15C0-4B20-BECF-826CB6257266}" uniqueName="11" name="FFS Value" queryTableFieldId="11" dataDxfId="25"/>
    <tableColumn id="13" xr3:uid="{4373A275-FC92-4E70-BCCA-B8AC4890915E}" uniqueName="13" name="Pick" queryTableFieldId="14" dataDxfId="24"/>
    <tableColumn id="10" xr3:uid="{A01C7044-EBEE-4A8F-8F4F-FA073B9E53C8}" uniqueName="10" name="Note" queryTableFieldId="21" dataDxfId="23"/>
    <tableColumn id="14" xr3:uid="{EE145B7F-9347-4BAF-86F9-4FA5172E62A2}" uniqueName="14" name="Type" queryTableFieldId="15" dataDxfId="22">
      <calculatedColumnFormula>IF(ISNA(VLOOKUP(Table_master_data[[#This Row],[Pick]],Table2[#All],2,FALSE)),"-",VLOOKUP(Table_master_data[[#This Row],[Pick]],Table2[#All],2,FALSE))</calculatedColumnFormula>
    </tableColumn>
    <tableColumn id="17" xr3:uid="{9B6F05A4-F59A-4728-A73F-81B77FAFA6E3}" uniqueName="17" name="Owner" queryTableFieldId="17" dataDxfId="21"/>
  </tableColumns>
  <tableStyleInfo name="flp_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F9EE5E4-3BE4-4563-900D-C19AF7FA39AE}" name="Table2" displayName="Table2" ref="B4:D19" totalsRowShown="0" headerRowDxfId="20" dataDxfId="19">
  <autoFilter ref="B4:D19" xr:uid="{7F9EE5E4-3BE4-4563-900D-C19AF7FA39AE}"/>
  <tableColumns count="3">
    <tableColumn id="1" xr3:uid="{440FFC99-6E2B-4CE1-8B06-B1DCC8A2C904}" name="Pick" dataDxfId="18"/>
    <tableColumn id="4" xr3:uid="{595DF5F9-BECA-4859-A094-160C367596ED}" name="Position" dataDxfId="17"/>
    <tableColumn id="3" xr3:uid="{9234111F-FA0F-415A-8516-1937DE2DD692}" name="Order" dataDxfId="16"/>
  </tableColumns>
  <tableStyleInfo name="flp_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6D5A698-3523-4204-9EBA-27FCC951D7EB}" name="player_status" displayName="player_status" ref="B6:C12" totalsRowShown="0">
  <autoFilter ref="B6:C12" xr:uid="{E6D5A698-3523-4204-9EBA-27FCC951D7EB}"/>
  <tableColumns count="2">
    <tableColumn id="1" xr3:uid="{1DDAC8EE-B936-43A5-9E8F-AA24114EC50F}" name="code"/>
    <tableColumn id="2" xr3:uid="{E10055E6-B206-40E3-B1A7-84F31F4A2182}" name="description"/>
  </tableColumns>
  <tableStyleInfo name="flp_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866937F-7D24-4194-A6FD-EBBDCBFC2026}" name="position_type" displayName="position_type" ref="E6:F10" totalsRowShown="0">
  <autoFilter ref="E6:F10" xr:uid="{3866937F-7D24-4194-A6FD-EBBDCBFC2026}"/>
  <tableColumns count="2">
    <tableColumn id="1" xr3:uid="{F1265B11-C6DF-423F-ACA1-14F189890F11}" name="code"/>
    <tableColumn id="2" xr3:uid="{EFBEF15E-0933-42CE-8A9B-B55BB758F509}" name="description"/>
  </tableColumns>
  <tableStyleInfo name="flp_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FAEF6D8-67AE-4CB7-9800-6BCA3F1C5CE0}" name="missing_player_linkage" displayName="missing_player_linkage" ref="M6:P7" tableType="queryTable" insertRow="1" totalsRowShown="0">
  <autoFilter ref="M6:P7" xr:uid="{AFAEF6D8-67AE-4CB7-9800-6BCA3F1C5CE0}"/>
  <tableColumns count="4">
    <tableColumn id="1" xr3:uid="{94551CFC-8B44-4FFD-B427-D9A90D9542DB}" uniqueName="1" name="ID" queryTableFieldId="1"/>
    <tableColumn id="2" xr3:uid="{F128E7CB-C4AE-4FB2-BAD1-564DC506E844}" uniqueName="2" name="Player" queryTableFieldId="2"/>
    <tableColumn id="3" xr3:uid="{E6D71AF3-8F74-43BC-8072-44DFDA0D11B4}" uniqueName="3" name="Position" queryTableFieldId="3"/>
    <tableColumn id="4" xr3:uid="{1FC43BA3-9CE2-4857-8EA5-19E927BB2EBF}" uniqueName="4" name="Team" queryTableFieldId="4"/>
  </tableColumns>
  <tableStyleInfo name="flp_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9E1384F-9A62-4AA2-B305-C853C49C1751}" name="player_linkage" displayName="player_linkage" ref="H6:K688" totalsRowShown="0">
  <autoFilter ref="H6:K688" xr:uid="{79E1384F-9A62-4AA2-B305-C853C49C1751}"/>
  <sortState xmlns:xlrd2="http://schemas.microsoft.com/office/spreadsheetml/2017/richdata2" ref="H7:K688">
    <sortCondition ref="K7:K688"/>
    <sortCondition ref="J7:J688"/>
    <sortCondition ref="I7:I688"/>
  </sortState>
  <tableColumns count="4">
    <tableColumn id="1" xr3:uid="{498E8AD6-D854-42EE-A113-A99E64E7F7DA}" name="ID"/>
    <tableColumn id="2" xr3:uid="{DF6FAB55-F67A-475F-A95D-0BCDB77F47D1}" name="Player" dataDxfId="15"/>
    <tableColumn id="3" xr3:uid="{DDFA8D2A-6235-44A1-B8CE-2EE6FAAE3E61}" name="Position" dataDxfId="14"/>
    <tableColumn id="4" xr3:uid="{4D2CCF5C-6E67-4835-A47F-67B742A1E9EB}" name="Team" dataDxfId="13"/>
  </tableColumns>
  <tableStyleInfo name="flp_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83A3A45-2EDA-44C7-B923-9898BECFCBED}" name="Table_player_check" displayName="Table_player_check" ref="R6:U1368" tableType="queryTable" totalsRowShown="0">
  <autoFilter ref="R6:U1368" xr:uid="{283A3A45-2EDA-44C7-B923-9898BECFCBED}"/>
  <tableColumns count="4">
    <tableColumn id="1" xr3:uid="{874EB6AE-8ADD-4A11-BBF8-20434817EAEE}" uniqueName="1" name="ID" queryTableFieldId="1"/>
    <tableColumn id="2" xr3:uid="{0CB4AC2F-BEDE-4A25-B6F4-BD76A2832C83}" uniqueName="2" name="Player" queryTableFieldId="2" dataDxfId="12"/>
    <tableColumn id="3" xr3:uid="{0ECB8E7F-4E75-46CF-9F83-402EC28F66F5}" uniqueName="3" name="Position" queryTableFieldId="3" dataDxfId="11"/>
    <tableColumn id="4" xr3:uid="{5AA9C070-9B7E-4A91-9D72-C597BFEA1981}" uniqueName="4" name="Team" queryTableFieldId="4" dataDxfId="10"/>
  </tableColumns>
  <tableStyleInfo name="flp_tabl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781EA-82BD-4110-ACA1-0983CDDB2176}">
  <sheetPr>
    <tabColor rgb="FF37003C"/>
  </sheetPr>
  <dimension ref="B2:Q691"/>
  <sheetViews>
    <sheetView showGridLines="0" tabSelected="1" zoomScale="110" zoomScaleNormal="110" workbookViewId="0">
      <pane ySplit="9" topLeftCell="A24" activePane="bottomLeft" state="frozen"/>
      <selection pane="bottomLeft" activeCell="O35" sqref="O35"/>
    </sheetView>
  </sheetViews>
  <sheetFormatPr defaultColWidth="11.88671875" defaultRowHeight="13.2" x14ac:dyDescent="0.25"/>
  <cols>
    <col min="1" max="1" width="2.5546875" customWidth="1"/>
    <col min="2" max="2" width="5.6640625" customWidth="1"/>
    <col min="3" max="3" width="20.6640625" customWidth="1"/>
    <col min="4" max="4" width="10.6640625" customWidth="1"/>
    <col min="5" max="5" width="8.6640625" customWidth="1"/>
    <col min="6" max="6" width="6.6640625" customWidth="1"/>
    <col min="7" max="7" width="8.6640625" customWidth="1"/>
    <col min="8" max="8" width="13.6640625" customWidth="1"/>
    <col min="9" max="9" width="8.6640625" customWidth="1"/>
    <col min="10" max="14" width="9.6640625" customWidth="1"/>
    <col min="15" max="15" width="25.6640625" customWidth="1"/>
    <col min="16" max="16" width="20.6640625" customWidth="1"/>
  </cols>
  <sheetData>
    <row r="2" spans="2:17" ht="75" customHeight="1" x14ac:dyDescent="0.25">
      <c r="B2" s="3" t="s">
        <v>210</v>
      </c>
    </row>
    <row r="4" spans="2:17" x14ac:dyDescent="0.25">
      <c r="G4" s="1"/>
      <c r="H4" s="1"/>
      <c r="J4" s="10" t="s">
        <v>258</v>
      </c>
      <c r="K4" s="10" t="s">
        <v>181</v>
      </c>
      <c r="L4" s="10" t="s">
        <v>179</v>
      </c>
      <c r="M4" s="10" t="s">
        <v>178</v>
      </c>
    </row>
    <row r="5" spans="2:17" x14ac:dyDescent="0.25">
      <c r="B5" s="35" t="s">
        <v>214</v>
      </c>
      <c r="C5" s="36"/>
      <c r="D5" s="11">
        <f>100-SUMIF(Table_master_data[[#All],[Owner]],"Andy",Table_master_data[[#All],[Cost]])</f>
        <v>7.5</v>
      </c>
      <c r="G5" s="8" t="s">
        <v>378</v>
      </c>
      <c r="H5" s="8"/>
      <c r="I5" s="8"/>
      <c r="J5" s="6">
        <f>COUNTIFS(Table_master_data[[#All],[Position]],J$4,Table_master_data[[#All],[Pick]],"&lt;&gt;")</f>
        <v>16</v>
      </c>
      <c r="K5" s="6">
        <f>COUNTIFS(Table_master_data[[#All],[Position]],K$4,Table_master_data[[#All],[Pick]],"&lt;&gt;")</f>
        <v>48</v>
      </c>
      <c r="L5" s="6">
        <f>COUNTIFS(Table_master_data[[#All],[Position]],L$4,Table_master_data[[#All],[Pick]],"&lt;&gt;")</f>
        <v>61</v>
      </c>
      <c r="M5" s="6">
        <f>COUNTIFS(Table_master_data[[#All],[Position]],M$4,Table_master_data[[#All],[Pick]],"&lt;&gt;")</f>
        <v>24</v>
      </c>
    </row>
    <row r="6" spans="2:17" x14ac:dyDescent="0.25">
      <c r="G6" s="9" t="s">
        <v>379</v>
      </c>
      <c r="H6" s="12"/>
      <c r="I6" s="12"/>
      <c r="J6" s="7">
        <f>COUNTIFS(Table_master_data[[#All],[Position]],J$4,Table_master_data[[#All],[Pick]],"&lt;&gt;",Table_master_data[[#All],[Owner]],"")</f>
        <v>2</v>
      </c>
      <c r="K6" s="7">
        <f>COUNTIFS(Table_master_data[[#All],[Position]],K$4,Table_master_data[[#All],[Pick]],"&lt;&gt;",Table_master_data[[#All],[Owner]],"")</f>
        <v>15</v>
      </c>
      <c r="L6" s="7">
        <f>COUNTIFS(Table_master_data[[#All],[Position]],L$4,Table_master_data[[#All],[Pick]],"&lt;&gt;",Table_master_data[[#All],[Owner]],"")</f>
        <v>27</v>
      </c>
      <c r="M6" s="7">
        <f>COUNTIFS(Table_master_data[[#All],[Position]],M$4,Table_master_data[[#All],[Pick]],"&lt;&gt;",Table_master_data[[#All],[Owner]],"")</f>
        <v>4</v>
      </c>
      <c r="N6" s="5"/>
    </row>
    <row r="7" spans="2:17" x14ac:dyDescent="0.25">
      <c r="G7" s="29" t="s">
        <v>377</v>
      </c>
      <c r="H7" s="29"/>
      <c r="I7" s="29"/>
      <c r="J7" s="30">
        <f>COUNTIFS(Table_master_data[[#All],[Position]],J$4,Table_master_data[[#All],[Owner]],"Andy")</f>
        <v>2</v>
      </c>
      <c r="K7" s="30">
        <f>COUNTIFS(Table_master_data[[#All],[Position]],K$4,Table_master_data[[#All],[Owner]],"Andy")</f>
        <v>5</v>
      </c>
      <c r="L7" s="30">
        <f>COUNTIFS(Table_master_data[[#All],[Position]],L$4,Table_master_data[[#All],[Owner]],"Andy")</f>
        <v>5</v>
      </c>
      <c r="M7" s="30">
        <f>COUNTIFS(Table_master_data[[#All],[Position]],M$4,Table_master_data[[#All],[Owner]],"Andy")</f>
        <v>3</v>
      </c>
      <c r="N7" s="33"/>
    </row>
    <row r="9" spans="2:17" ht="39.6" x14ac:dyDescent="0.25">
      <c r="B9" s="27" t="s">
        <v>260</v>
      </c>
      <c r="C9" s="27" t="s">
        <v>261</v>
      </c>
      <c r="D9" s="27" t="s">
        <v>208</v>
      </c>
      <c r="E9" s="27" t="s">
        <v>0</v>
      </c>
      <c r="F9" s="28" t="s">
        <v>367</v>
      </c>
      <c r="G9" s="28" t="s">
        <v>368</v>
      </c>
      <c r="H9" s="27" t="s">
        <v>369</v>
      </c>
      <c r="I9" s="27" t="s">
        <v>370</v>
      </c>
      <c r="J9" s="28" t="s">
        <v>375</v>
      </c>
      <c r="K9" s="31" t="s">
        <v>502</v>
      </c>
      <c r="L9" s="28" t="s">
        <v>371</v>
      </c>
      <c r="M9" s="27" t="s">
        <v>195</v>
      </c>
      <c r="N9" s="27" t="s">
        <v>825</v>
      </c>
      <c r="O9" s="27" t="s">
        <v>209</v>
      </c>
      <c r="P9" s="27" t="s">
        <v>376</v>
      </c>
      <c r="Q9" s="28"/>
    </row>
    <row r="10" spans="2:17" x14ac:dyDescent="0.25">
      <c r="B10" s="21">
        <v>381</v>
      </c>
      <c r="C10" s="21" t="s">
        <v>444</v>
      </c>
      <c r="D10" s="21" t="s">
        <v>179</v>
      </c>
      <c r="E10" s="21" t="s">
        <v>180</v>
      </c>
      <c r="F10" s="25">
        <v>344</v>
      </c>
      <c r="G10" s="26">
        <v>14.5</v>
      </c>
      <c r="H10" s="21" t="s">
        <v>243</v>
      </c>
      <c r="I10" s="23">
        <v>1</v>
      </c>
      <c r="J10" s="24">
        <v>259.91000000000003</v>
      </c>
      <c r="K10" s="32">
        <v>33.43</v>
      </c>
      <c r="L10" s="24">
        <v>17.920000000000002</v>
      </c>
      <c r="M10" s="34">
        <v>1</v>
      </c>
      <c r="N10" s="34"/>
      <c r="O10" s="22" t="str">
        <f>IF(ISNA(VLOOKUP(Table_master_data[[#This Row],[Pick]],Table2[#All],2,FALSE)),"-",VLOOKUP(Table_master_data[[#This Row],[Pick]],Table2[#All],2,FALSE))</f>
        <v>Premium MID</v>
      </c>
      <c r="P10" s="22" t="s">
        <v>837</v>
      </c>
    </row>
    <row r="11" spans="2:17" x14ac:dyDescent="0.25">
      <c r="B11" s="21">
        <v>235</v>
      </c>
      <c r="C11" s="21" t="s">
        <v>158</v>
      </c>
      <c r="D11" s="21" t="s">
        <v>179</v>
      </c>
      <c r="E11" s="21" t="s">
        <v>187</v>
      </c>
      <c r="F11" s="25">
        <v>214</v>
      </c>
      <c r="G11" s="26">
        <v>10.5</v>
      </c>
      <c r="H11" s="21" t="s">
        <v>243</v>
      </c>
      <c r="I11" s="23">
        <v>1</v>
      </c>
      <c r="J11" s="24">
        <v>231.72</v>
      </c>
      <c r="K11" s="32">
        <v>30.159999999999997</v>
      </c>
      <c r="L11" s="24">
        <v>22.07</v>
      </c>
      <c r="M11" s="34">
        <v>1</v>
      </c>
      <c r="N11" s="34"/>
      <c r="O11" s="22" t="str">
        <f>IF(ISNA(VLOOKUP(Table_master_data[[#This Row],[Pick]],Table2[#All],2,FALSE)),"-",VLOOKUP(Table_master_data[[#This Row],[Pick]],Table2[#All],2,FALSE))</f>
        <v>Premium MID</v>
      </c>
      <c r="P11" s="22" t="s">
        <v>839</v>
      </c>
    </row>
    <row r="12" spans="2:17" x14ac:dyDescent="0.25">
      <c r="B12" s="21">
        <v>430</v>
      </c>
      <c r="C12" s="21" t="s">
        <v>1</v>
      </c>
      <c r="D12" s="21" t="s">
        <v>178</v>
      </c>
      <c r="E12" s="21" t="s">
        <v>184</v>
      </c>
      <c r="F12" s="25">
        <v>181</v>
      </c>
      <c r="G12" s="26">
        <v>14</v>
      </c>
      <c r="H12" s="21" t="s">
        <v>243</v>
      </c>
      <c r="I12" s="23">
        <v>1</v>
      </c>
      <c r="J12" s="24">
        <v>229.28</v>
      </c>
      <c r="K12" s="32">
        <v>28.61</v>
      </c>
      <c r="L12" s="24">
        <v>16.38</v>
      </c>
      <c r="M12" s="34">
        <v>2</v>
      </c>
      <c r="N12" s="34"/>
      <c r="O12" s="22" t="str">
        <f>IF(ISNA(VLOOKUP(Table_master_data[[#This Row],[Pick]],Table2[#All],2,FALSE)),"-",VLOOKUP(Table_master_data[[#This Row],[Pick]],Table2[#All],2,FALSE))</f>
        <v>Premium MID/FWD</v>
      </c>
      <c r="P12" s="22" t="s">
        <v>36</v>
      </c>
    </row>
    <row r="13" spans="2:17" x14ac:dyDescent="0.25">
      <c r="B13" s="21">
        <v>16</v>
      </c>
      <c r="C13" s="21" t="s">
        <v>10</v>
      </c>
      <c r="D13" s="21" t="s">
        <v>179</v>
      </c>
      <c r="E13" s="21" t="s">
        <v>194</v>
      </c>
      <c r="F13" s="25">
        <v>127</v>
      </c>
      <c r="G13" s="26">
        <v>10</v>
      </c>
      <c r="H13" s="21" t="s">
        <v>243</v>
      </c>
      <c r="I13" s="23">
        <v>1</v>
      </c>
      <c r="J13" s="24">
        <v>197.51</v>
      </c>
      <c r="K13" s="32">
        <v>25.68</v>
      </c>
      <c r="L13" s="24">
        <v>19.75</v>
      </c>
      <c r="M13" s="34">
        <v>1</v>
      </c>
      <c r="N13" s="34"/>
      <c r="O13" s="22" t="str">
        <f>IF(ISNA(VLOOKUP(Table_master_data[[#This Row],[Pick]],Table2[#All],2,FALSE)),"-",VLOOKUP(Table_master_data[[#This Row],[Pick]],Table2[#All],2,FALSE))</f>
        <v>Premium MID</v>
      </c>
      <c r="P13" s="22" t="s">
        <v>4</v>
      </c>
    </row>
    <row r="14" spans="2:17" x14ac:dyDescent="0.25">
      <c r="B14" s="21">
        <v>64</v>
      </c>
      <c r="C14" s="21" t="s">
        <v>30</v>
      </c>
      <c r="D14" s="21" t="s">
        <v>178</v>
      </c>
      <c r="E14" s="21" t="s">
        <v>191</v>
      </c>
      <c r="F14" s="25">
        <v>186</v>
      </c>
      <c r="G14" s="26">
        <v>9</v>
      </c>
      <c r="H14" s="21" t="s">
        <v>243</v>
      </c>
      <c r="I14" s="23">
        <v>1</v>
      </c>
      <c r="J14" s="24">
        <v>186.88</v>
      </c>
      <c r="K14" s="32">
        <v>25.560000000000002</v>
      </c>
      <c r="L14" s="24">
        <v>20.76</v>
      </c>
      <c r="M14" s="34">
        <v>1</v>
      </c>
      <c r="N14" s="34" t="s">
        <v>826</v>
      </c>
      <c r="O14" s="22" t="str">
        <f>IF(ISNA(VLOOKUP(Table_master_data[[#This Row],[Pick]],Table2[#All],2,FALSE)),"-",VLOOKUP(Table_master_data[[#This Row],[Pick]],Table2[#All],2,FALSE))</f>
        <v>Premium MID</v>
      </c>
      <c r="P14" s="22" t="s">
        <v>840</v>
      </c>
    </row>
    <row r="15" spans="2:17" x14ac:dyDescent="0.25">
      <c r="B15" s="21">
        <v>499</v>
      </c>
      <c r="C15" s="21" t="s">
        <v>286</v>
      </c>
      <c r="D15" s="21" t="s">
        <v>178</v>
      </c>
      <c r="E15" s="21" t="s">
        <v>186</v>
      </c>
      <c r="F15" s="25">
        <v>211</v>
      </c>
      <c r="G15" s="26">
        <v>10.5</v>
      </c>
      <c r="H15" s="21" t="s">
        <v>243</v>
      </c>
      <c r="I15" s="23">
        <v>1</v>
      </c>
      <c r="J15" s="24">
        <v>180.54</v>
      </c>
      <c r="K15" s="32">
        <v>20.119999999999997</v>
      </c>
      <c r="L15" s="24">
        <v>17.190000000000001</v>
      </c>
      <c r="M15" s="34">
        <v>2</v>
      </c>
      <c r="N15" s="34" t="s">
        <v>826</v>
      </c>
      <c r="O15" s="22" t="str">
        <f>IF(ISNA(VLOOKUP(Table_master_data[[#This Row],[Pick]],Table2[#All],2,FALSE)),"-",VLOOKUP(Table_master_data[[#This Row],[Pick]],Table2[#All],2,FALSE))</f>
        <v>Premium MID/FWD</v>
      </c>
      <c r="P15" s="22" t="s">
        <v>841</v>
      </c>
    </row>
    <row r="16" spans="2:17" x14ac:dyDescent="0.25">
      <c r="B16" s="21">
        <v>449</v>
      </c>
      <c r="C16" s="21" t="s">
        <v>266</v>
      </c>
      <c r="D16" s="21" t="s">
        <v>179</v>
      </c>
      <c r="E16" s="21" t="s">
        <v>193</v>
      </c>
      <c r="F16" s="25">
        <v>174</v>
      </c>
      <c r="G16" s="26">
        <v>9</v>
      </c>
      <c r="H16" s="21" t="s">
        <v>243</v>
      </c>
      <c r="I16" s="23">
        <v>1</v>
      </c>
      <c r="J16" s="24">
        <v>176.97</v>
      </c>
      <c r="K16" s="32">
        <v>23</v>
      </c>
      <c r="L16" s="24">
        <v>19.66</v>
      </c>
      <c r="M16" s="34">
        <v>1</v>
      </c>
      <c r="N16" s="34" t="s">
        <v>826</v>
      </c>
      <c r="O16" s="22" t="str">
        <f>IF(ISNA(VLOOKUP(Table_master_data[[#This Row],[Pick]],Table2[#All],2,FALSE)),"-",VLOOKUP(Table_master_data[[#This Row],[Pick]],Table2[#All],2,FALSE))</f>
        <v>Premium MID</v>
      </c>
      <c r="P16" s="22" t="s">
        <v>842</v>
      </c>
    </row>
    <row r="17" spans="2:16" x14ac:dyDescent="0.25">
      <c r="B17" s="21">
        <v>382</v>
      </c>
      <c r="C17" s="21" t="s">
        <v>701</v>
      </c>
      <c r="D17" s="21" t="s">
        <v>179</v>
      </c>
      <c r="E17" s="21" t="s">
        <v>180</v>
      </c>
      <c r="F17" s="25">
        <v>0</v>
      </c>
      <c r="G17" s="26">
        <v>8.5</v>
      </c>
      <c r="H17" s="21" t="s">
        <v>243</v>
      </c>
      <c r="I17" s="23">
        <v>1</v>
      </c>
      <c r="J17" s="24">
        <v>170.2</v>
      </c>
      <c r="K17" s="32">
        <v>22.1</v>
      </c>
      <c r="L17" s="24">
        <v>20.02</v>
      </c>
      <c r="M17" s="34">
        <v>1</v>
      </c>
      <c r="N17" s="34" t="s">
        <v>826</v>
      </c>
      <c r="O17" s="22" t="str">
        <f>IF(ISNA(VLOOKUP(Table_master_data[[#This Row],[Pick]],Table2[#All],2,FALSE)),"-",VLOOKUP(Table_master_data[[#This Row],[Pick]],Table2[#All],2,FALSE))</f>
        <v>Premium MID</v>
      </c>
      <c r="P17" s="22" t="s">
        <v>838</v>
      </c>
    </row>
    <row r="18" spans="2:16" x14ac:dyDescent="0.25">
      <c r="B18" s="21">
        <v>666</v>
      </c>
      <c r="C18" s="21" t="s">
        <v>626</v>
      </c>
      <c r="D18" s="21" t="s">
        <v>178</v>
      </c>
      <c r="E18" s="21" t="s">
        <v>194</v>
      </c>
      <c r="F18" s="25">
        <v>0</v>
      </c>
      <c r="G18" s="26">
        <v>9</v>
      </c>
      <c r="H18" s="21" t="s">
        <v>243</v>
      </c>
      <c r="I18" s="23">
        <v>1</v>
      </c>
      <c r="J18" s="24">
        <v>166.09</v>
      </c>
      <c r="K18" s="32">
        <v>21.7</v>
      </c>
      <c r="L18" s="24">
        <v>18.45</v>
      </c>
      <c r="M18" s="34">
        <v>2</v>
      </c>
      <c r="N18" s="34"/>
      <c r="O18" s="22" t="str">
        <f>IF(ISNA(VLOOKUP(Table_master_data[[#This Row],[Pick]],Table2[#All],2,FALSE)),"-",VLOOKUP(Table_master_data[[#This Row],[Pick]],Table2[#All],2,FALSE))</f>
        <v>Premium MID/FWD</v>
      </c>
      <c r="P18" s="22" t="s">
        <v>838</v>
      </c>
    </row>
    <row r="19" spans="2:16" x14ac:dyDescent="0.25">
      <c r="B19" s="21">
        <v>266</v>
      </c>
      <c r="C19" s="21" t="s">
        <v>61</v>
      </c>
      <c r="D19" s="21" t="s">
        <v>179</v>
      </c>
      <c r="E19" s="21" t="s">
        <v>188</v>
      </c>
      <c r="F19" s="25">
        <v>148</v>
      </c>
      <c r="G19" s="26">
        <v>7.5</v>
      </c>
      <c r="H19" s="21" t="s">
        <v>243</v>
      </c>
      <c r="I19" s="23">
        <v>1</v>
      </c>
      <c r="J19" s="24">
        <v>165.88</v>
      </c>
      <c r="K19" s="32">
        <v>22.61</v>
      </c>
      <c r="L19" s="24">
        <v>22.12</v>
      </c>
      <c r="M19" s="34">
        <v>1</v>
      </c>
      <c r="N19" s="34" t="s">
        <v>826</v>
      </c>
      <c r="O19" s="22" t="str">
        <f>IF(ISNA(VLOOKUP(Table_master_data[[#This Row],[Pick]],Table2[#All],2,FALSE)),"-",VLOOKUP(Table_master_data[[#This Row],[Pick]],Table2[#All],2,FALSE))</f>
        <v>Premium MID</v>
      </c>
      <c r="P19" s="22" t="s">
        <v>841</v>
      </c>
    </row>
    <row r="20" spans="2:16" x14ac:dyDescent="0.25">
      <c r="B20" s="21">
        <v>119</v>
      </c>
      <c r="C20" s="21" t="s">
        <v>40</v>
      </c>
      <c r="D20" s="21" t="s">
        <v>179</v>
      </c>
      <c r="E20" s="21" t="s">
        <v>193</v>
      </c>
      <c r="F20" s="25">
        <v>236</v>
      </c>
      <c r="G20" s="26">
        <v>8</v>
      </c>
      <c r="H20" s="21" t="s">
        <v>243</v>
      </c>
      <c r="I20" s="23">
        <v>1</v>
      </c>
      <c r="J20" s="24">
        <v>164.26</v>
      </c>
      <c r="K20" s="32">
        <v>21.22</v>
      </c>
      <c r="L20" s="24">
        <v>20.53</v>
      </c>
      <c r="M20" s="34">
        <v>1</v>
      </c>
      <c r="N20" s="34" t="s">
        <v>826</v>
      </c>
      <c r="O20" s="22" t="str">
        <f>IF(ISNA(VLOOKUP(Table_master_data[[#This Row],[Pick]],Table2[#All],2,FALSE)),"-",VLOOKUP(Table_master_data[[#This Row],[Pick]],Table2[#All],2,FALSE))</f>
        <v>Premium MID</v>
      </c>
      <c r="P20" s="22" t="s">
        <v>841</v>
      </c>
    </row>
    <row r="21" spans="2:16" x14ac:dyDescent="0.25">
      <c r="B21" s="21">
        <v>624</v>
      </c>
      <c r="C21" s="21" t="s">
        <v>12</v>
      </c>
      <c r="D21" s="21" t="s">
        <v>178</v>
      </c>
      <c r="E21" s="21" t="s">
        <v>372</v>
      </c>
      <c r="F21" s="25">
        <v>193</v>
      </c>
      <c r="G21" s="26">
        <v>8</v>
      </c>
      <c r="H21" s="21" t="s">
        <v>243</v>
      </c>
      <c r="I21" s="23">
        <v>1</v>
      </c>
      <c r="J21" s="24">
        <v>163.35</v>
      </c>
      <c r="K21" s="32">
        <v>23.11</v>
      </c>
      <c r="L21" s="24">
        <v>20.420000000000002</v>
      </c>
      <c r="M21" s="34">
        <v>2</v>
      </c>
      <c r="N21" s="34"/>
      <c r="O21" s="22" t="str">
        <f>IF(ISNA(VLOOKUP(Table_master_data[[#This Row],[Pick]],Table2[#All],2,FALSE)),"-",VLOOKUP(Table_master_data[[#This Row],[Pick]],Table2[#All],2,FALSE))</f>
        <v>Premium MID/FWD</v>
      </c>
      <c r="P21" s="22" t="s">
        <v>842</v>
      </c>
    </row>
    <row r="22" spans="2:16" x14ac:dyDescent="0.25">
      <c r="B22" s="21">
        <v>157</v>
      </c>
      <c r="C22" s="21" t="s">
        <v>164</v>
      </c>
      <c r="D22" s="21" t="s">
        <v>179</v>
      </c>
      <c r="E22" s="21" t="s">
        <v>373</v>
      </c>
      <c r="F22" s="25">
        <v>145</v>
      </c>
      <c r="G22" s="26">
        <v>6.5</v>
      </c>
      <c r="H22" s="21" t="s">
        <v>243</v>
      </c>
      <c r="I22" s="23">
        <v>1</v>
      </c>
      <c r="J22" s="24">
        <v>163.01</v>
      </c>
      <c r="K22" s="32">
        <v>21.75</v>
      </c>
      <c r="L22" s="24">
        <v>25.08</v>
      </c>
      <c r="M22" s="34">
        <v>2</v>
      </c>
      <c r="N22" s="34"/>
      <c r="O22" s="22" t="str">
        <f>IF(ISNA(VLOOKUP(Table_master_data[[#This Row],[Pick]],Table2[#All],2,FALSE)),"-",VLOOKUP(Table_master_data[[#This Row],[Pick]],Table2[#All],2,FALSE))</f>
        <v>Premium MID/FWD</v>
      </c>
      <c r="P22" s="22" t="s">
        <v>842</v>
      </c>
    </row>
    <row r="23" spans="2:16" x14ac:dyDescent="0.25">
      <c r="B23" s="21">
        <v>450</v>
      </c>
      <c r="C23" s="21" t="s">
        <v>346</v>
      </c>
      <c r="D23" s="21" t="s">
        <v>179</v>
      </c>
      <c r="E23" s="21" t="s">
        <v>193</v>
      </c>
      <c r="F23" s="25">
        <v>178</v>
      </c>
      <c r="G23" s="26">
        <v>8</v>
      </c>
      <c r="H23" s="21" t="s">
        <v>243</v>
      </c>
      <c r="I23" s="23">
        <v>1</v>
      </c>
      <c r="J23" s="24">
        <v>161.37</v>
      </c>
      <c r="K23" s="32">
        <v>20.95</v>
      </c>
      <c r="L23" s="24">
        <v>20.170000000000002</v>
      </c>
      <c r="M23" s="34">
        <v>1</v>
      </c>
      <c r="N23" s="34" t="s">
        <v>826</v>
      </c>
      <c r="O23" s="22" t="str">
        <f>IF(ISNA(VLOOKUP(Table_master_data[[#This Row],[Pick]],Table2[#All],2,FALSE)),"-",VLOOKUP(Table_master_data[[#This Row],[Pick]],Table2[#All],2,FALSE))</f>
        <v>Premium MID</v>
      </c>
      <c r="P23" s="22" t="s">
        <v>837</v>
      </c>
    </row>
    <row r="24" spans="2:16" x14ac:dyDescent="0.25">
      <c r="B24" s="21">
        <v>82</v>
      </c>
      <c r="C24" s="21" t="s">
        <v>309</v>
      </c>
      <c r="D24" s="21" t="s">
        <v>179</v>
      </c>
      <c r="E24" s="21" t="s">
        <v>190</v>
      </c>
      <c r="F24" s="25">
        <v>165</v>
      </c>
      <c r="G24" s="26">
        <v>7</v>
      </c>
      <c r="H24" s="21" t="s">
        <v>243</v>
      </c>
      <c r="I24" s="23">
        <v>1</v>
      </c>
      <c r="J24" s="24">
        <v>161.35</v>
      </c>
      <c r="K24" s="32">
        <v>20.93</v>
      </c>
      <c r="L24" s="24">
        <v>23.05</v>
      </c>
      <c r="M24" s="34">
        <v>3</v>
      </c>
      <c r="N24" s="34" t="s">
        <v>827</v>
      </c>
      <c r="O24" s="22" t="str">
        <f>IF(ISNA(VLOOKUP(Table_master_data[[#This Row],[Pick]],Table2[#All],2,FALSE)),"-",VLOOKUP(Table_master_data[[#This Row],[Pick]],Table2[#All],2,FALSE))</f>
        <v>Priority MID/FWD</v>
      </c>
      <c r="P24" s="22" t="s">
        <v>840</v>
      </c>
    </row>
    <row r="25" spans="2:16" x14ac:dyDescent="0.25">
      <c r="B25" s="21">
        <v>661</v>
      </c>
      <c r="C25" s="21" t="s">
        <v>822</v>
      </c>
      <c r="D25" s="21" t="s">
        <v>178</v>
      </c>
      <c r="E25" s="21" t="s">
        <v>180</v>
      </c>
      <c r="F25" s="25">
        <v>0</v>
      </c>
      <c r="G25" s="26">
        <v>8.5</v>
      </c>
      <c r="H25" s="21" t="s">
        <v>243</v>
      </c>
      <c r="I25" s="23">
        <v>1</v>
      </c>
      <c r="J25" s="24">
        <v>161.03</v>
      </c>
      <c r="K25" s="32">
        <v>20.78</v>
      </c>
      <c r="L25" s="24">
        <v>18.940000000000001</v>
      </c>
      <c r="M25" s="34">
        <v>2</v>
      </c>
      <c r="N25" s="34"/>
      <c r="O25" s="22" t="str">
        <f>IF(ISNA(VLOOKUP(Table_master_data[[#This Row],[Pick]],Table2[#All],2,FALSE)),"-",VLOOKUP(Table_master_data[[#This Row],[Pick]],Table2[#All],2,FALSE))</f>
        <v>Premium MID/FWD</v>
      </c>
      <c r="P25" s="22" t="s">
        <v>4</v>
      </c>
    </row>
    <row r="26" spans="2:16" x14ac:dyDescent="0.25">
      <c r="B26" s="21">
        <v>17</v>
      </c>
      <c r="C26" s="21" t="s">
        <v>507</v>
      </c>
      <c r="D26" s="21" t="s">
        <v>179</v>
      </c>
      <c r="E26" s="21" t="s">
        <v>194</v>
      </c>
      <c r="F26" s="25">
        <v>116</v>
      </c>
      <c r="G26" s="26">
        <v>8</v>
      </c>
      <c r="H26" s="21" t="s">
        <v>243</v>
      </c>
      <c r="I26" s="23">
        <v>1</v>
      </c>
      <c r="J26" s="24">
        <v>159.59</v>
      </c>
      <c r="K26" s="32">
        <v>20.78</v>
      </c>
      <c r="L26" s="24">
        <v>19.95</v>
      </c>
      <c r="M26" s="34">
        <v>3</v>
      </c>
      <c r="N26" s="34" t="s">
        <v>827</v>
      </c>
      <c r="O26" s="22" t="str">
        <f>IF(ISNA(VLOOKUP(Table_master_data[[#This Row],[Pick]],Table2[#All],2,FALSE)),"-",VLOOKUP(Table_master_data[[#This Row],[Pick]],Table2[#All],2,FALSE))</f>
        <v>Priority MID/FWD</v>
      </c>
      <c r="P26" s="22" t="s">
        <v>842</v>
      </c>
    </row>
    <row r="27" spans="2:16" x14ac:dyDescent="0.25">
      <c r="B27" s="21">
        <v>421</v>
      </c>
      <c r="C27" s="21" t="s">
        <v>113</v>
      </c>
      <c r="D27" s="21" t="s">
        <v>179</v>
      </c>
      <c r="E27" s="21" t="s">
        <v>184</v>
      </c>
      <c r="F27" s="25">
        <v>3</v>
      </c>
      <c r="G27" s="26">
        <v>6.5</v>
      </c>
      <c r="H27" s="21" t="s">
        <v>250</v>
      </c>
      <c r="I27" s="23">
        <v>0.75</v>
      </c>
      <c r="J27" s="24">
        <v>155.82</v>
      </c>
      <c r="K27" s="32">
        <v>15.790000000000001</v>
      </c>
      <c r="L27" s="24">
        <v>23.97</v>
      </c>
      <c r="M27" s="34">
        <v>3</v>
      </c>
      <c r="N27" s="34"/>
      <c r="O27" s="22" t="str">
        <f>IF(ISNA(VLOOKUP(Table_master_data[[#This Row],[Pick]],Table2[#All],2,FALSE)),"-",VLOOKUP(Table_master_data[[#This Row],[Pick]],Table2[#All],2,FALSE))</f>
        <v>Priority MID/FWD</v>
      </c>
      <c r="P27" s="22"/>
    </row>
    <row r="28" spans="2:16" x14ac:dyDescent="0.25">
      <c r="B28" s="21">
        <v>299</v>
      </c>
      <c r="C28" s="21" t="s">
        <v>287</v>
      </c>
      <c r="D28" s="21" t="s">
        <v>179</v>
      </c>
      <c r="E28" s="21" t="s">
        <v>185</v>
      </c>
      <c r="F28" s="25">
        <v>114</v>
      </c>
      <c r="G28" s="26">
        <v>6.5</v>
      </c>
      <c r="H28" s="21" t="s">
        <v>243</v>
      </c>
      <c r="I28" s="23">
        <v>1</v>
      </c>
      <c r="J28" s="24">
        <v>151.79</v>
      </c>
      <c r="K28" s="32">
        <v>20.049999999999997</v>
      </c>
      <c r="L28" s="24">
        <v>23.35</v>
      </c>
      <c r="M28" s="34">
        <v>5</v>
      </c>
      <c r="N28" s="34"/>
      <c r="O28" s="22" t="str">
        <f>IF(ISNA(VLOOKUP(Table_master_data[[#This Row],[Pick]],Table2[#All],2,FALSE)),"-",VLOOKUP(Table_master_data[[#This Row],[Pick]],Table2[#All],2,FALSE))</f>
        <v>Solid MID/Premium DEF</v>
      </c>
      <c r="P28" s="22" t="s">
        <v>4</v>
      </c>
    </row>
    <row r="29" spans="2:16" x14ac:dyDescent="0.25">
      <c r="B29" s="21">
        <v>97</v>
      </c>
      <c r="C29" s="21" t="s">
        <v>570</v>
      </c>
      <c r="D29" s="21" t="s">
        <v>178</v>
      </c>
      <c r="E29" s="21" t="s">
        <v>190</v>
      </c>
      <c r="F29" s="25">
        <v>128</v>
      </c>
      <c r="G29" s="26">
        <v>7</v>
      </c>
      <c r="H29" s="21" t="s">
        <v>243</v>
      </c>
      <c r="I29" s="23">
        <v>1</v>
      </c>
      <c r="J29" s="24">
        <v>151.72999999999999</v>
      </c>
      <c r="K29" s="32">
        <v>19.470000000000002</v>
      </c>
      <c r="L29" s="24">
        <v>21.68</v>
      </c>
      <c r="M29" s="34">
        <v>2</v>
      </c>
      <c r="N29" s="34"/>
      <c r="O29" s="22" t="str">
        <f>IF(ISNA(VLOOKUP(Table_master_data[[#This Row],[Pick]],Table2[#All],2,FALSE)),"-",VLOOKUP(Table_master_data[[#This Row],[Pick]],Table2[#All],2,FALSE))</f>
        <v>Premium MID/FWD</v>
      </c>
      <c r="P29" s="22" t="s">
        <v>837</v>
      </c>
    </row>
    <row r="30" spans="2:16" x14ac:dyDescent="0.25">
      <c r="B30" s="21">
        <v>47</v>
      </c>
      <c r="C30" s="21" t="s">
        <v>395</v>
      </c>
      <c r="D30" s="21" t="s">
        <v>179</v>
      </c>
      <c r="E30" s="21" t="s">
        <v>191</v>
      </c>
      <c r="F30" s="25">
        <v>161</v>
      </c>
      <c r="G30" s="26">
        <v>7</v>
      </c>
      <c r="H30" s="21" t="s">
        <v>250</v>
      </c>
      <c r="I30" s="23">
        <v>0.75</v>
      </c>
      <c r="J30" s="24">
        <v>151.54</v>
      </c>
      <c r="K30" s="32">
        <v>19.18</v>
      </c>
      <c r="L30" s="24">
        <v>21.65</v>
      </c>
      <c r="M30" s="34">
        <v>3</v>
      </c>
      <c r="N30" s="34"/>
      <c r="O30" s="22" t="str">
        <f>IF(ISNA(VLOOKUP(Table_master_data[[#This Row],[Pick]],Table2[#All],2,FALSE)),"-",VLOOKUP(Table_master_data[[#This Row],[Pick]],Table2[#All],2,FALSE))</f>
        <v>Priority MID/FWD</v>
      </c>
      <c r="P30" s="22" t="s">
        <v>840</v>
      </c>
    </row>
    <row r="31" spans="2:16" x14ac:dyDescent="0.25">
      <c r="B31" s="21">
        <v>283</v>
      </c>
      <c r="C31" s="21" t="s">
        <v>56</v>
      </c>
      <c r="D31" s="21" t="s">
        <v>178</v>
      </c>
      <c r="E31" s="21" t="s">
        <v>188</v>
      </c>
      <c r="F31" s="25">
        <v>150</v>
      </c>
      <c r="G31" s="26">
        <v>7.5</v>
      </c>
      <c r="H31" s="21" t="s">
        <v>243</v>
      </c>
      <c r="I31" s="23">
        <v>1</v>
      </c>
      <c r="J31" s="24">
        <v>151.5</v>
      </c>
      <c r="K31" s="32">
        <v>20.46</v>
      </c>
      <c r="L31" s="24">
        <v>20.2</v>
      </c>
      <c r="M31" s="34">
        <v>2</v>
      </c>
      <c r="N31" s="34"/>
      <c r="O31" s="22" t="str">
        <f>IF(ISNA(VLOOKUP(Table_master_data[[#This Row],[Pick]],Table2[#All],2,FALSE)),"-",VLOOKUP(Table_master_data[[#This Row],[Pick]],Table2[#All],2,FALSE))</f>
        <v>Premium MID/FWD</v>
      </c>
      <c r="P31" s="22" t="s">
        <v>840</v>
      </c>
    </row>
    <row r="32" spans="2:16" x14ac:dyDescent="0.25">
      <c r="B32" s="21">
        <v>525</v>
      </c>
      <c r="C32" s="21" t="s">
        <v>116</v>
      </c>
      <c r="D32" s="21" t="s">
        <v>178</v>
      </c>
      <c r="E32" s="21" t="s">
        <v>374</v>
      </c>
      <c r="F32" s="25">
        <v>200</v>
      </c>
      <c r="G32" s="26">
        <v>7.5</v>
      </c>
      <c r="H32" s="21" t="s">
        <v>243</v>
      </c>
      <c r="I32" s="23">
        <v>1</v>
      </c>
      <c r="J32" s="24">
        <v>151</v>
      </c>
      <c r="K32" s="32">
        <v>20.309999999999999</v>
      </c>
      <c r="L32" s="24">
        <v>20.13</v>
      </c>
      <c r="M32" s="34">
        <v>2</v>
      </c>
      <c r="N32" s="34"/>
      <c r="O32" s="22" t="str">
        <f>IF(ISNA(VLOOKUP(Table_master_data[[#This Row],[Pick]],Table2[#All],2,FALSE)),"-",VLOOKUP(Table_master_data[[#This Row],[Pick]],Table2[#All],2,FALSE))</f>
        <v>Premium MID/FWD</v>
      </c>
      <c r="P32" s="22" t="s">
        <v>839</v>
      </c>
    </row>
    <row r="33" spans="2:16" x14ac:dyDescent="0.25">
      <c r="B33" s="21">
        <v>5</v>
      </c>
      <c r="C33" s="21" t="s">
        <v>28</v>
      </c>
      <c r="D33" s="21" t="s">
        <v>181</v>
      </c>
      <c r="E33" s="21" t="s">
        <v>194</v>
      </c>
      <c r="F33" s="25">
        <v>117</v>
      </c>
      <c r="G33" s="26">
        <v>6</v>
      </c>
      <c r="H33" s="21" t="s">
        <v>243</v>
      </c>
      <c r="I33" s="23">
        <v>1</v>
      </c>
      <c r="J33" s="24">
        <v>149.13</v>
      </c>
      <c r="K33" s="32">
        <v>18.350000000000001</v>
      </c>
      <c r="L33" s="24">
        <v>24.85</v>
      </c>
      <c r="M33" s="34">
        <v>3</v>
      </c>
      <c r="N33" s="34"/>
      <c r="O33" s="22" t="str">
        <f>IF(ISNA(VLOOKUP(Table_master_data[[#This Row],[Pick]],Table2[#All],2,FALSE)),"-",VLOOKUP(Table_master_data[[#This Row],[Pick]],Table2[#All],2,FALSE))</f>
        <v>Priority MID/FWD</v>
      </c>
      <c r="P33" s="22" t="s">
        <v>36</v>
      </c>
    </row>
    <row r="34" spans="2:16" x14ac:dyDescent="0.25">
      <c r="B34" s="21">
        <v>267</v>
      </c>
      <c r="C34" s="21" t="s">
        <v>140</v>
      </c>
      <c r="D34" s="21" t="s">
        <v>179</v>
      </c>
      <c r="E34" s="21" t="s">
        <v>188</v>
      </c>
      <c r="F34" s="25">
        <v>149</v>
      </c>
      <c r="G34" s="26">
        <v>6.5</v>
      </c>
      <c r="H34" s="21" t="s">
        <v>243</v>
      </c>
      <c r="I34" s="23">
        <v>1</v>
      </c>
      <c r="J34" s="24">
        <v>148.57</v>
      </c>
      <c r="K34" s="32">
        <v>20</v>
      </c>
      <c r="L34" s="24">
        <v>22.86</v>
      </c>
      <c r="M34" s="34">
        <v>3</v>
      </c>
      <c r="N34" s="34"/>
      <c r="O34" s="22" t="str">
        <f>IF(ISNA(VLOOKUP(Table_master_data[[#This Row],[Pick]],Table2[#All],2,FALSE)),"-",VLOOKUP(Table_master_data[[#This Row],[Pick]],Table2[#All],2,FALSE))</f>
        <v>Priority MID/FWD</v>
      </c>
      <c r="P34" s="22" t="s">
        <v>840</v>
      </c>
    </row>
    <row r="35" spans="2:16" x14ac:dyDescent="0.25">
      <c r="B35" s="21">
        <v>386</v>
      </c>
      <c r="C35" s="21" t="s">
        <v>43</v>
      </c>
      <c r="D35" s="21" t="s">
        <v>179</v>
      </c>
      <c r="E35" s="21" t="s">
        <v>180</v>
      </c>
      <c r="F35" s="25">
        <v>122</v>
      </c>
      <c r="G35" s="26">
        <v>6.5</v>
      </c>
      <c r="H35" s="21" t="s">
        <v>243</v>
      </c>
      <c r="I35" s="23">
        <v>1</v>
      </c>
      <c r="J35" s="24">
        <v>148.38</v>
      </c>
      <c r="K35" s="32">
        <v>17.739999999999998</v>
      </c>
      <c r="L35" s="24">
        <v>22.83</v>
      </c>
      <c r="M35" s="34">
        <v>4</v>
      </c>
      <c r="N35" s="34" t="s">
        <v>827</v>
      </c>
      <c r="O35" s="22" t="str">
        <f>IF(ISNA(VLOOKUP(Table_master_data[[#This Row],[Pick]],Table2[#All],2,FALSE)),"-",VLOOKUP(Table_master_data[[#This Row],[Pick]],Table2[#All],2,FALSE))</f>
        <v>Priority MID/Premium DEF</v>
      </c>
      <c r="P35" s="22" t="s">
        <v>842</v>
      </c>
    </row>
    <row r="36" spans="2:16" x14ac:dyDescent="0.25">
      <c r="B36" s="21">
        <v>654</v>
      </c>
      <c r="C36" s="21" t="s">
        <v>488</v>
      </c>
      <c r="D36" s="21" t="s">
        <v>178</v>
      </c>
      <c r="E36" s="21" t="s">
        <v>182</v>
      </c>
      <c r="F36" s="25">
        <v>145</v>
      </c>
      <c r="G36" s="26">
        <v>6.5</v>
      </c>
      <c r="H36" s="21" t="s">
        <v>243</v>
      </c>
      <c r="I36" s="23">
        <v>1</v>
      </c>
      <c r="J36" s="24">
        <v>147.81</v>
      </c>
      <c r="K36" s="32">
        <v>20.18</v>
      </c>
      <c r="L36" s="24">
        <v>22.74</v>
      </c>
      <c r="M36" s="34">
        <v>7</v>
      </c>
      <c r="N36" s="34"/>
      <c r="O36" s="22" t="str">
        <f>IF(ISNA(VLOOKUP(Table_master_data[[#This Row],[Pick]],Table2[#All],2,FALSE)),"-",VLOOKUP(Table_master_data[[#This Row],[Pick]],Table2[#All],2,FALSE))</f>
        <v>Second FWD</v>
      </c>
      <c r="P36" s="22" t="s">
        <v>839</v>
      </c>
    </row>
    <row r="37" spans="2:16" x14ac:dyDescent="0.25">
      <c r="B37" s="21">
        <v>160</v>
      </c>
      <c r="C37" s="21" t="s">
        <v>412</v>
      </c>
      <c r="D37" s="21" t="s">
        <v>179</v>
      </c>
      <c r="E37" s="21" t="s">
        <v>373</v>
      </c>
      <c r="F37" s="25">
        <v>102</v>
      </c>
      <c r="G37" s="26">
        <v>6</v>
      </c>
      <c r="H37" s="21" t="s">
        <v>243</v>
      </c>
      <c r="I37" s="23">
        <v>1</v>
      </c>
      <c r="J37" s="24">
        <v>146.6</v>
      </c>
      <c r="K37" s="32">
        <v>20.079999999999998</v>
      </c>
      <c r="L37" s="24">
        <v>24.43</v>
      </c>
      <c r="M37" s="34">
        <v>3</v>
      </c>
      <c r="N37" s="34"/>
      <c r="O37" s="22" t="str">
        <f>IF(ISNA(VLOOKUP(Table_master_data[[#This Row],[Pick]],Table2[#All],2,FALSE)),"-",VLOOKUP(Table_master_data[[#This Row],[Pick]],Table2[#All],2,FALSE))</f>
        <v>Priority MID/FWD</v>
      </c>
      <c r="P37" s="22"/>
    </row>
    <row r="38" spans="2:16" x14ac:dyDescent="0.25">
      <c r="B38" s="21">
        <v>373</v>
      </c>
      <c r="C38" s="21" t="s">
        <v>292</v>
      </c>
      <c r="D38" s="21" t="s">
        <v>181</v>
      </c>
      <c r="E38" s="21" t="s">
        <v>180</v>
      </c>
      <c r="F38" s="25">
        <v>143</v>
      </c>
      <c r="G38" s="26">
        <v>6</v>
      </c>
      <c r="H38" s="21" t="s">
        <v>243</v>
      </c>
      <c r="I38" s="23">
        <v>1</v>
      </c>
      <c r="J38" s="24">
        <v>146.44</v>
      </c>
      <c r="K38" s="32">
        <v>19.57</v>
      </c>
      <c r="L38" s="24">
        <v>24.41</v>
      </c>
      <c r="M38" s="34">
        <v>3</v>
      </c>
      <c r="N38" s="34"/>
      <c r="O38" s="22" t="str">
        <f>IF(ISNA(VLOOKUP(Table_master_data[[#This Row],[Pick]],Table2[#All],2,FALSE)),"-",VLOOKUP(Table_master_data[[#This Row],[Pick]],Table2[#All],2,FALSE))</f>
        <v>Priority MID/FWD</v>
      </c>
      <c r="P38" s="22" t="s">
        <v>838</v>
      </c>
    </row>
    <row r="39" spans="2:16" x14ac:dyDescent="0.25">
      <c r="B39" s="21">
        <v>6</v>
      </c>
      <c r="C39" s="21" t="s">
        <v>108</v>
      </c>
      <c r="D39" s="21" t="s">
        <v>181</v>
      </c>
      <c r="E39" s="21" t="s">
        <v>194</v>
      </c>
      <c r="F39" s="25">
        <v>130</v>
      </c>
      <c r="G39" s="26">
        <v>6</v>
      </c>
      <c r="H39" s="21" t="s">
        <v>243</v>
      </c>
      <c r="I39" s="23">
        <v>1</v>
      </c>
      <c r="J39" s="24">
        <v>146.27000000000001</v>
      </c>
      <c r="K39" s="32">
        <v>18.28</v>
      </c>
      <c r="L39" s="24">
        <v>24.38</v>
      </c>
      <c r="M39" s="34">
        <v>3</v>
      </c>
      <c r="N39" s="34" t="s">
        <v>827</v>
      </c>
      <c r="O39" s="22" t="str">
        <f>IF(ISNA(VLOOKUP(Table_master_data[[#This Row],[Pick]],Table2[#All],2,FALSE)),"-",VLOOKUP(Table_master_data[[#This Row],[Pick]],Table2[#All],2,FALSE))</f>
        <v>Priority MID/FWD</v>
      </c>
      <c r="P39" s="22" t="s">
        <v>839</v>
      </c>
    </row>
    <row r="40" spans="2:16" x14ac:dyDescent="0.25">
      <c r="B40" s="21">
        <v>403</v>
      </c>
      <c r="C40" s="21" t="s">
        <v>447</v>
      </c>
      <c r="D40" s="21" t="s">
        <v>181</v>
      </c>
      <c r="E40" s="21" t="s">
        <v>184</v>
      </c>
      <c r="F40" s="25">
        <v>153</v>
      </c>
      <c r="G40" s="26">
        <v>6</v>
      </c>
      <c r="H40" s="21" t="s">
        <v>243</v>
      </c>
      <c r="I40" s="23">
        <v>1</v>
      </c>
      <c r="J40" s="24">
        <v>145.88</v>
      </c>
      <c r="K40" s="32">
        <v>15.52</v>
      </c>
      <c r="L40" s="24">
        <v>24.31</v>
      </c>
      <c r="M40" s="34">
        <v>3</v>
      </c>
      <c r="N40" s="34" t="s">
        <v>827</v>
      </c>
      <c r="O40" s="22" t="str">
        <f>IF(ISNA(VLOOKUP(Table_master_data[[#This Row],[Pick]],Table2[#All],2,FALSE)),"-",VLOOKUP(Table_master_data[[#This Row],[Pick]],Table2[#All],2,FALSE))</f>
        <v>Priority MID/FWD</v>
      </c>
      <c r="P40" s="22" t="s">
        <v>842</v>
      </c>
    </row>
    <row r="41" spans="2:16" x14ac:dyDescent="0.25">
      <c r="B41" s="21">
        <v>120</v>
      </c>
      <c r="C41" s="21" t="s">
        <v>313</v>
      </c>
      <c r="D41" s="21" t="s">
        <v>179</v>
      </c>
      <c r="E41" s="21" t="s">
        <v>183</v>
      </c>
      <c r="F41" s="25">
        <v>149</v>
      </c>
      <c r="G41" s="26">
        <v>7</v>
      </c>
      <c r="H41" s="21" t="s">
        <v>250</v>
      </c>
      <c r="I41" s="23">
        <v>0.75</v>
      </c>
      <c r="J41" s="24">
        <v>145.77000000000001</v>
      </c>
      <c r="K41" s="32">
        <v>18.079999999999998</v>
      </c>
      <c r="L41" s="24">
        <v>20.82</v>
      </c>
      <c r="M41" s="34">
        <v>5</v>
      </c>
      <c r="N41" s="34" t="s">
        <v>829</v>
      </c>
      <c r="O41" s="22" t="str">
        <f>IF(ISNA(VLOOKUP(Table_master_data[[#This Row],[Pick]],Table2[#All],2,FALSE)),"-",VLOOKUP(Table_master_data[[#This Row],[Pick]],Table2[#All],2,FALSE))</f>
        <v>Solid MID/Premium DEF</v>
      </c>
      <c r="P41" s="22" t="s">
        <v>839</v>
      </c>
    </row>
    <row r="42" spans="2:16" x14ac:dyDescent="0.25">
      <c r="B42" s="21">
        <v>1</v>
      </c>
      <c r="C42" s="21" t="s">
        <v>49</v>
      </c>
      <c r="D42" s="21" t="s">
        <v>258</v>
      </c>
      <c r="E42" s="21" t="s">
        <v>194</v>
      </c>
      <c r="F42" s="25">
        <v>142</v>
      </c>
      <c r="G42" s="26">
        <v>5.5</v>
      </c>
      <c r="H42" s="21" t="s">
        <v>243</v>
      </c>
      <c r="I42" s="23">
        <v>1</v>
      </c>
      <c r="J42" s="24">
        <v>145.72</v>
      </c>
      <c r="K42" s="32">
        <v>18.690000000000001</v>
      </c>
      <c r="L42" s="24">
        <v>26.5</v>
      </c>
      <c r="M42" s="34">
        <v>8</v>
      </c>
      <c r="N42" s="34" t="s">
        <v>827</v>
      </c>
      <c r="O42" s="22" t="str">
        <f>IF(ISNA(VLOOKUP(Table_master_data[[#This Row],[Pick]],Table2[#All],2,FALSE)),"-",VLOOKUP(Table_master_data[[#This Row],[Pick]],Table2[#All],2,FALSE))</f>
        <v>Priority GK</v>
      </c>
      <c r="P42" s="22" t="s">
        <v>838</v>
      </c>
    </row>
    <row r="43" spans="2:16" x14ac:dyDescent="0.25">
      <c r="B43" s="21">
        <v>21</v>
      </c>
      <c r="C43" s="21" t="s">
        <v>91</v>
      </c>
      <c r="D43" s="21" t="s">
        <v>179</v>
      </c>
      <c r="E43" s="21" t="s">
        <v>194</v>
      </c>
      <c r="F43" s="25">
        <v>127</v>
      </c>
      <c r="G43" s="26">
        <v>6.5</v>
      </c>
      <c r="H43" s="21" t="s">
        <v>243</v>
      </c>
      <c r="I43" s="23">
        <v>1</v>
      </c>
      <c r="J43" s="24">
        <v>145.09</v>
      </c>
      <c r="K43" s="32">
        <v>19.22</v>
      </c>
      <c r="L43" s="24">
        <v>22.32</v>
      </c>
      <c r="M43" s="34">
        <v>3</v>
      </c>
      <c r="N43" s="34" t="s">
        <v>828</v>
      </c>
      <c r="O43" s="22" t="str">
        <f>IF(ISNA(VLOOKUP(Table_master_data[[#This Row],[Pick]],Table2[#All],2,FALSE)),"-",VLOOKUP(Table_master_data[[#This Row],[Pick]],Table2[#All],2,FALSE))</f>
        <v>Priority MID/FWD</v>
      </c>
      <c r="P43" s="22" t="s">
        <v>838</v>
      </c>
    </row>
    <row r="44" spans="2:16" x14ac:dyDescent="0.25">
      <c r="B44" s="21">
        <v>48</v>
      </c>
      <c r="C44" s="21" t="s">
        <v>50</v>
      </c>
      <c r="D44" s="21" t="s">
        <v>179</v>
      </c>
      <c r="E44" s="21" t="s">
        <v>191</v>
      </c>
      <c r="F44" s="25">
        <v>121</v>
      </c>
      <c r="G44" s="26">
        <v>6</v>
      </c>
      <c r="H44" s="21" t="s">
        <v>243</v>
      </c>
      <c r="I44" s="23">
        <v>1</v>
      </c>
      <c r="J44" s="24">
        <v>144.91</v>
      </c>
      <c r="K44" s="32">
        <v>19.82</v>
      </c>
      <c r="L44" s="24">
        <v>24.15</v>
      </c>
      <c r="M44" s="34">
        <v>5</v>
      </c>
      <c r="N44" s="34" t="s">
        <v>827</v>
      </c>
      <c r="O44" s="22" t="str">
        <f>IF(ISNA(VLOOKUP(Table_master_data[[#This Row],[Pick]],Table2[#All],2,FALSE)),"-",VLOOKUP(Table_master_data[[#This Row],[Pick]],Table2[#All],2,FALSE))</f>
        <v>Solid MID/Premium DEF</v>
      </c>
      <c r="P44" s="22"/>
    </row>
    <row r="45" spans="2:16" x14ac:dyDescent="0.25">
      <c r="B45" s="21">
        <v>488</v>
      </c>
      <c r="C45" s="21" t="s">
        <v>360</v>
      </c>
      <c r="D45" s="21" t="s">
        <v>179</v>
      </c>
      <c r="E45" s="21" t="s">
        <v>186</v>
      </c>
      <c r="F45" s="25">
        <v>135</v>
      </c>
      <c r="G45" s="26">
        <v>6.5</v>
      </c>
      <c r="H45" s="21" t="s">
        <v>243</v>
      </c>
      <c r="I45" s="23">
        <v>1</v>
      </c>
      <c r="J45" s="24">
        <v>144.79</v>
      </c>
      <c r="K45" s="32">
        <v>18.37</v>
      </c>
      <c r="L45" s="24">
        <v>22.28</v>
      </c>
      <c r="M45" s="34">
        <v>5</v>
      </c>
      <c r="N45" s="34"/>
      <c r="O45" s="22" t="str">
        <f>IF(ISNA(VLOOKUP(Table_master_data[[#This Row],[Pick]],Table2[#All],2,FALSE)),"-",VLOOKUP(Table_master_data[[#This Row],[Pick]],Table2[#All],2,FALSE))</f>
        <v>Solid MID/Premium DEF</v>
      </c>
      <c r="P45" s="22"/>
    </row>
    <row r="46" spans="2:16" x14ac:dyDescent="0.25">
      <c r="B46" s="21">
        <v>580</v>
      </c>
      <c r="C46" s="21" t="s">
        <v>38</v>
      </c>
      <c r="D46" s="21" t="s">
        <v>179</v>
      </c>
      <c r="E46" s="21" t="s">
        <v>192</v>
      </c>
      <c r="F46" s="25">
        <v>137</v>
      </c>
      <c r="G46" s="26">
        <v>7</v>
      </c>
      <c r="H46" s="21" t="s">
        <v>243</v>
      </c>
      <c r="I46" s="23">
        <v>1</v>
      </c>
      <c r="J46" s="24">
        <v>144.59</v>
      </c>
      <c r="K46" s="32">
        <v>21.86</v>
      </c>
      <c r="L46" s="24">
        <v>20.66</v>
      </c>
      <c r="M46" s="34">
        <v>3</v>
      </c>
      <c r="N46" s="34"/>
      <c r="O46" s="22" t="str">
        <f>IF(ISNA(VLOOKUP(Table_master_data[[#This Row],[Pick]],Table2[#All],2,FALSE)),"-",VLOOKUP(Table_master_data[[#This Row],[Pick]],Table2[#All],2,FALSE))</f>
        <v>Priority MID/FWD</v>
      </c>
      <c r="P46" s="22" t="s">
        <v>837</v>
      </c>
    </row>
    <row r="47" spans="2:16" x14ac:dyDescent="0.25">
      <c r="B47" s="21">
        <v>324</v>
      </c>
      <c r="C47" s="21" t="s">
        <v>82</v>
      </c>
      <c r="D47" s="21" t="s">
        <v>179</v>
      </c>
      <c r="E47" s="21" t="s">
        <v>189</v>
      </c>
      <c r="F47" s="25">
        <v>156</v>
      </c>
      <c r="G47" s="26">
        <v>6.5</v>
      </c>
      <c r="H47" s="21" t="s">
        <v>243</v>
      </c>
      <c r="I47" s="23">
        <v>1</v>
      </c>
      <c r="J47" s="24">
        <v>144.13</v>
      </c>
      <c r="K47" s="32">
        <v>19.259999999999998</v>
      </c>
      <c r="L47" s="24">
        <v>22.17</v>
      </c>
      <c r="M47" s="34">
        <v>5</v>
      </c>
      <c r="N47" s="34" t="s">
        <v>827</v>
      </c>
      <c r="O47" s="22" t="str">
        <f>IF(ISNA(VLOOKUP(Table_master_data[[#This Row],[Pick]],Table2[#All],2,FALSE)),"-",VLOOKUP(Table_master_data[[#This Row],[Pick]],Table2[#All],2,FALSE))</f>
        <v>Solid MID/Premium DEF</v>
      </c>
      <c r="P47" s="22" t="s">
        <v>842</v>
      </c>
    </row>
    <row r="48" spans="2:16" x14ac:dyDescent="0.25">
      <c r="B48" s="21">
        <v>237</v>
      </c>
      <c r="C48" s="21" t="s">
        <v>310</v>
      </c>
      <c r="D48" s="21" t="s">
        <v>179</v>
      </c>
      <c r="E48" s="21" t="s">
        <v>187</v>
      </c>
      <c r="F48" s="25">
        <v>135</v>
      </c>
      <c r="G48" s="26">
        <v>6.5</v>
      </c>
      <c r="H48" s="21" t="s">
        <v>243</v>
      </c>
      <c r="I48" s="23">
        <v>1</v>
      </c>
      <c r="J48" s="24">
        <v>144.12</v>
      </c>
      <c r="K48" s="32">
        <v>18.86</v>
      </c>
      <c r="L48" s="24">
        <v>22.17</v>
      </c>
      <c r="M48" s="34">
        <v>12</v>
      </c>
      <c r="N48" s="34"/>
      <c r="O48" s="22" t="str">
        <f>IF(ISNA(VLOOKUP(Table_master_data[[#This Row],[Pick]],Table2[#All],2,FALSE)),"-",VLOOKUP(Table_master_data[[#This Row],[Pick]],Table2[#All],2,FALSE))</f>
        <v>Rotation MID</v>
      </c>
      <c r="P48" s="22" t="s">
        <v>840</v>
      </c>
    </row>
    <row r="49" spans="2:16" x14ac:dyDescent="0.25">
      <c r="B49" s="21">
        <v>249</v>
      </c>
      <c r="C49" s="21" t="s">
        <v>541</v>
      </c>
      <c r="D49" s="21" t="s">
        <v>178</v>
      </c>
      <c r="E49" s="21" t="s">
        <v>187</v>
      </c>
      <c r="F49" s="25">
        <v>126</v>
      </c>
      <c r="G49" s="26">
        <v>7.5</v>
      </c>
      <c r="H49" s="21" t="s">
        <v>243</v>
      </c>
      <c r="I49" s="23">
        <v>1</v>
      </c>
      <c r="J49" s="24">
        <v>143.28</v>
      </c>
      <c r="K49" s="32">
        <v>19.869999999999997</v>
      </c>
      <c r="L49" s="24">
        <v>19.100000000000001</v>
      </c>
      <c r="M49" s="34">
        <v>2</v>
      </c>
      <c r="N49" s="34"/>
      <c r="O49" s="22" t="str">
        <f>IF(ISNA(VLOOKUP(Table_master_data[[#This Row],[Pick]],Table2[#All],2,FALSE)),"-",VLOOKUP(Table_master_data[[#This Row],[Pick]],Table2[#All],2,FALSE))</f>
        <v>Premium MID/FWD</v>
      </c>
      <c r="P49" s="22" t="s">
        <v>36</v>
      </c>
    </row>
    <row r="50" spans="2:16" x14ac:dyDescent="0.25">
      <c r="B50" s="21">
        <v>366</v>
      </c>
      <c r="C50" s="21" t="s">
        <v>439</v>
      </c>
      <c r="D50" s="21" t="s">
        <v>258</v>
      </c>
      <c r="E50" s="21" t="s">
        <v>180</v>
      </c>
      <c r="F50" s="25">
        <v>112</v>
      </c>
      <c r="G50" s="26">
        <v>5.5</v>
      </c>
      <c r="H50" s="21" t="s">
        <v>243</v>
      </c>
      <c r="I50" s="23">
        <v>1</v>
      </c>
      <c r="J50" s="24">
        <v>142.75</v>
      </c>
      <c r="K50" s="32">
        <v>19.190000000000001</v>
      </c>
      <c r="L50" s="24">
        <v>25.95</v>
      </c>
      <c r="M50" s="34">
        <v>8</v>
      </c>
      <c r="N50" s="34" t="s">
        <v>827</v>
      </c>
      <c r="O50" s="22" t="str">
        <f>IF(ISNA(VLOOKUP(Table_master_data[[#This Row],[Pick]],Table2[#All],2,FALSE)),"-",VLOOKUP(Table_master_data[[#This Row],[Pick]],Table2[#All],2,FALSE))</f>
        <v>Priority GK</v>
      </c>
      <c r="P50" s="22" t="s">
        <v>842</v>
      </c>
    </row>
    <row r="51" spans="2:16" x14ac:dyDescent="0.25">
      <c r="B51" s="21">
        <v>485</v>
      </c>
      <c r="C51" s="21" t="s">
        <v>36</v>
      </c>
      <c r="D51" s="21" t="s">
        <v>179</v>
      </c>
      <c r="E51" s="21" t="s">
        <v>186</v>
      </c>
      <c r="F51" s="25">
        <v>124</v>
      </c>
      <c r="G51" s="26">
        <v>7.5</v>
      </c>
      <c r="H51" s="21" t="s">
        <v>250</v>
      </c>
      <c r="I51" s="23">
        <v>0.75</v>
      </c>
      <c r="J51" s="24">
        <v>142.72999999999999</v>
      </c>
      <c r="K51" s="32">
        <v>18.220000000000002</v>
      </c>
      <c r="L51" s="24">
        <v>19.03</v>
      </c>
      <c r="M51" s="34">
        <v>5</v>
      </c>
      <c r="N51" s="34"/>
      <c r="O51" s="22" t="str">
        <f>IF(ISNA(VLOOKUP(Table_master_data[[#This Row],[Pick]],Table2[#All],2,FALSE)),"-",VLOOKUP(Table_master_data[[#This Row],[Pick]],Table2[#All],2,FALSE))</f>
        <v>Solid MID/Premium DEF</v>
      </c>
      <c r="P51" s="22" t="s">
        <v>839</v>
      </c>
    </row>
    <row r="52" spans="2:16" x14ac:dyDescent="0.25">
      <c r="B52" s="21">
        <v>681</v>
      </c>
      <c r="C52" s="21" t="s">
        <v>836</v>
      </c>
      <c r="D52" s="21" t="s">
        <v>178</v>
      </c>
      <c r="E52" s="21" t="s">
        <v>193</v>
      </c>
      <c r="F52" s="25">
        <v>0</v>
      </c>
      <c r="G52" s="26">
        <v>7.5</v>
      </c>
      <c r="H52" s="21" t="s">
        <v>243</v>
      </c>
      <c r="I52" s="23">
        <v>1</v>
      </c>
      <c r="J52" s="24">
        <v>138.09</v>
      </c>
      <c r="K52" s="32">
        <v>16.190000000000001</v>
      </c>
      <c r="L52" s="24">
        <v>18.41</v>
      </c>
      <c r="M52" s="34">
        <v>3</v>
      </c>
      <c r="N52" s="34"/>
      <c r="O52" s="22" t="str">
        <f>IF(ISNA(VLOOKUP(Table_master_data[[#This Row],[Pick]],Table2[#All],2,FALSE)),"-",VLOOKUP(Table_master_data[[#This Row],[Pick]],Table2[#All],2,FALSE))</f>
        <v>Priority MID/FWD</v>
      </c>
      <c r="P52" s="22" t="s">
        <v>838</v>
      </c>
    </row>
    <row r="53" spans="2:16" x14ac:dyDescent="0.25">
      <c r="B53" s="21">
        <v>614</v>
      </c>
      <c r="C53" s="21" t="s">
        <v>482</v>
      </c>
      <c r="D53" s="21" t="s">
        <v>179</v>
      </c>
      <c r="E53" s="21" t="s">
        <v>372</v>
      </c>
      <c r="F53" s="25">
        <v>51</v>
      </c>
      <c r="G53" s="26">
        <v>6</v>
      </c>
      <c r="H53" s="21" t="s">
        <v>243</v>
      </c>
      <c r="I53" s="23">
        <v>1</v>
      </c>
      <c r="J53" s="24">
        <v>137.19</v>
      </c>
      <c r="K53" s="32">
        <v>19.760000000000002</v>
      </c>
      <c r="L53" s="24">
        <v>22.87</v>
      </c>
      <c r="M53" s="34">
        <v>5</v>
      </c>
      <c r="N53" s="34"/>
      <c r="O53" s="22" t="str">
        <f>IF(ISNA(VLOOKUP(Table_master_data[[#This Row],[Pick]],Table2[#All],2,FALSE)),"-",VLOOKUP(Table_master_data[[#This Row],[Pick]],Table2[#All],2,FALSE))</f>
        <v>Solid MID/Premium DEF</v>
      </c>
      <c r="P53" s="22"/>
    </row>
    <row r="54" spans="2:16" x14ac:dyDescent="0.25">
      <c r="B54" s="21">
        <v>291</v>
      </c>
      <c r="C54" s="21" t="s">
        <v>90</v>
      </c>
      <c r="D54" s="21" t="s">
        <v>181</v>
      </c>
      <c r="E54" s="21" t="s">
        <v>185</v>
      </c>
      <c r="F54" s="25">
        <v>105</v>
      </c>
      <c r="G54" s="26">
        <v>5.5</v>
      </c>
      <c r="H54" s="21" t="s">
        <v>243</v>
      </c>
      <c r="I54" s="23">
        <v>1</v>
      </c>
      <c r="J54" s="24">
        <v>137.18</v>
      </c>
      <c r="K54" s="32">
        <v>17.71</v>
      </c>
      <c r="L54" s="24">
        <v>24.94</v>
      </c>
      <c r="M54" s="34">
        <v>6</v>
      </c>
      <c r="N54" s="34"/>
      <c r="O54" s="22" t="str">
        <f>IF(ISNA(VLOOKUP(Table_master_data[[#This Row],[Pick]],Table2[#All],2,FALSE)),"-",VLOOKUP(Table_master_data[[#This Row],[Pick]],Table2[#All],2,FALSE))</f>
        <v>Priority DEF</v>
      </c>
      <c r="P54" s="22" t="s">
        <v>4</v>
      </c>
    </row>
    <row r="55" spans="2:16" x14ac:dyDescent="0.25">
      <c r="B55" s="21">
        <v>158</v>
      </c>
      <c r="C55" s="21" t="s">
        <v>624</v>
      </c>
      <c r="D55" s="21" t="s">
        <v>179</v>
      </c>
      <c r="E55" s="21" t="s">
        <v>373</v>
      </c>
      <c r="F55" s="25">
        <v>95</v>
      </c>
      <c r="G55" s="26">
        <v>6</v>
      </c>
      <c r="H55" s="21" t="s">
        <v>243</v>
      </c>
      <c r="I55" s="23">
        <v>1</v>
      </c>
      <c r="J55" s="24">
        <v>136.96</v>
      </c>
      <c r="K55" s="32">
        <v>18.27</v>
      </c>
      <c r="L55" s="24">
        <v>22.83</v>
      </c>
      <c r="M55" s="34">
        <v>12</v>
      </c>
      <c r="N55" s="34"/>
      <c r="O55" s="22" t="str">
        <f>IF(ISNA(VLOOKUP(Table_master_data[[#This Row],[Pick]],Table2[#All],2,FALSE)),"-",VLOOKUP(Table_master_data[[#This Row],[Pick]],Table2[#All],2,FALSE))</f>
        <v>Rotation MID</v>
      </c>
      <c r="P55" s="22" t="s">
        <v>840</v>
      </c>
    </row>
    <row r="56" spans="2:16" x14ac:dyDescent="0.25">
      <c r="B56" s="21">
        <v>568</v>
      </c>
      <c r="C56" s="21" t="s">
        <v>348</v>
      </c>
      <c r="D56" s="21" t="s">
        <v>181</v>
      </c>
      <c r="E56" s="21" t="s">
        <v>192</v>
      </c>
      <c r="F56" s="25">
        <v>98</v>
      </c>
      <c r="G56" s="26">
        <v>5.5</v>
      </c>
      <c r="H56" s="21" t="s">
        <v>243</v>
      </c>
      <c r="I56" s="23">
        <v>1</v>
      </c>
      <c r="J56" s="24">
        <v>136.29</v>
      </c>
      <c r="K56" s="32">
        <v>18.28</v>
      </c>
      <c r="L56" s="24">
        <v>24.78</v>
      </c>
      <c r="M56" s="34">
        <v>6</v>
      </c>
      <c r="N56" s="34" t="s">
        <v>827</v>
      </c>
      <c r="O56" s="22" t="str">
        <f>IF(ISNA(VLOOKUP(Table_master_data[[#This Row],[Pick]],Table2[#All],2,FALSE)),"-",VLOOKUP(Table_master_data[[#This Row],[Pick]],Table2[#All],2,FALSE))</f>
        <v>Priority DEF</v>
      </c>
      <c r="P56" s="22" t="s">
        <v>842</v>
      </c>
    </row>
    <row r="57" spans="2:16" x14ac:dyDescent="0.25">
      <c r="B57" s="21">
        <v>596</v>
      </c>
      <c r="C57" s="21" t="s">
        <v>41</v>
      </c>
      <c r="D57" s="21" t="s">
        <v>178</v>
      </c>
      <c r="E57" s="21" t="s">
        <v>192</v>
      </c>
      <c r="F57" s="25">
        <v>108</v>
      </c>
      <c r="G57" s="26">
        <v>7.5</v>
      </c>
      <c r="H57" s="21" t="s">
        <v>250</v>
      </c>
      <c r="I57" s="23">
        <v>0.75</v>
      </c>
      <c r="J57" s="24">
        <v>135.9</v>
      </c>
      <c r="K57" s="32">
        <v>15.829999999999998</v>
      </c>
      <c r="L57" s="24">
        <v>18.12</v>
      </c>
      <c r="M57" s="34">
        <v>7</v>
      </c>
      <c r="N57" s="34"/>
      <c r="O57" s="22" t="str">
        <f>IF(ISNA(VLOOKUP(Table_master_data[[#This Row],[Pick]],Table2[#All],2,FALSE)),"-",VLOOKUP(Table_master_data[[#This Row],[Pick]],Table2[#All],2,FALSE))</f>
        <v>Second FWD</v>
      </c>
      <c r="P57" s="22" t="s">
        <v>841</v>
      </c>
    </row>
    <row r="58" spans="2:16" x14ac:dyDescent="0.25">
      <c r="B58" s="21">
        <v>384</v>
      </c>
      <c r="C58" s="21" t="s">
        <v>304</v>
      </c>
      <c r="D58" s="21" t="s">
        <v>179</v>
      </c>
      <c r="E58" s="21" t="s">
        <v>180</v>
      </c>
      <c r="F58" s="25">
        <v>127</v>
      </c>
      <c r="G58" s="26">
        <v>7.5</v>
      </c>
      <c r="H58" s="21" t="s">
        <v>243</v>
      </c>
      <c r="I58" s="23">
        <v>1</v>
      </c>
      <c r="J58" s="24">
        <v>135.83000000000001</v>
      </c>
      <c r="K58" s="32">
        <v>21.14</v>
      </c>
      <c r="L58" s="24">
        <v>18.11</v>
      </c>
      <c r="M58" s="34">
        <v>3</v>
      </c>
      <c r="N58" s="34"/>
      <c r="O58" s="22" t="str">
        <f>IF(ISNA(VLOOKUP(Table_master_data[[#This Row],[Pick]],Table2[#All],2,FALSE)),"-",VLOOKUP(Table_master_data[[#This Row],[Pick]],Table2[#All],2,FALSE))</f>
        <v>Priority MID/FWD</v>
      </c>
      <c r="P58" s="22" t="s">
        <v>4</v>
      </c>
    </row>
    <row r="59" spans="2:16" x14ac:dyDescent="0.25">
      <c r="B59" s="21">
        <v>257</v>
      </c>
      <c r="C59" s="21" t="s">
        <v>523</v>
      </c>
      <c r="D59" s="21" t="s">
        <v>181</v>
      </c>
      <c r="E59" s="21" t="s">
        <v>188</v>
      </c>
      <c r="F59" s="25">
        <v>114</v>
      </c>
      <c r="G59" s="26">
        <v>5</v>
      </c>
      <c r="H59" s="21" t="s">
        <v>243</v>
      </c>
      <c r="I59" s="23">
        <v>1</v>
      </c>
      <c r="J59" s="24">
        <v>135.61000000000001</v>
      </c>
      <c r="K59" s="32">
        <v>18.29</v>
      </c>
      <c r="L59" s="24">
        <v>27.12</v>
      </c>
      <c r="M59" s="34">
        <v>6</v>
      </c>
      <c r="N59" s="34" t="s">
        <v>827</v>
      </c>
      <c r="O59" s="22" t="str">
        <f>IF(ISNA(VLOOKUP(Table_master_data[[#This Row],[Pick]],Table2[#All],2,FALSE)),"-",VLOOKUP(Table_master_data[[#This Row],[Pick]],Table2[#All],2,FALSE))</f>
        <v>Priority DEF</v>
      </c>
      <c r="P59" s="22" t="s">
        <v>4</v>
      </c>
    </row>
    <row r="60" spans="2:16" x14ac:dyDescent="0.25">
      <c r="B60" s="21">
        <v>121</v>
      </c>
      <c r="C60" s="21" t="s">
        <v>311</v>
      </c>
      <c r="D60" s="21" t="s">
        <v>179</v>
      </c>
      <c r="E60" s="21" t="s">
        <v>183</v>
      </c>
      <c r="F60" s="25">
        <v>131</v>
      </c>
      <c r="G60" s="26">
        <v>6</v>
      </c>
      <c r="H60" s="21" t="s">
        <v>243</v>
      </c>
      <c r="I60" s="23">
        <v>1</v>
      </c>
      <c r="J60" s="24">
        <v>134.62</v>
      </c>
      <c r="K60" s="32">
        <v>17.739999999999998</v>
      </c>
      <c r="L60" s="24">
        <v>22.44</v>
      </c>
      <c r="M60" s="34">
        <v>12</v>
      </c>
      <c r="N60" s="34"/>
      <c r="O60" s="22" t="str">
        <f>IF(ISNA(VLOOKUP(Table_master_data[[#This Row],[Pick]],Table2[#All],2,FALSE)),"-",VLOOKUP(Table_master_data[[#This Row],[Pick]],Table2[#All],2,FALSE))</f>
        <v>Rotation MID</v>
      </c>
      <c r="P60" s="22"/>
    </row>
    <row r="61" spans="2:16" x14ac:dyDescent="0.25">
      <c r="B61" s="21">
        <v>515</v>
      </c>
      <c r="C61" s="21" t="s">
        <v>153</v>
      </c>
      <c r="D61" s="21" t="s">
        <v>179</v>
      </c>
      <c r="E61" s="21" t="s">
        <v>374</v>
      </c>
      <c r="F61" s="25">
        <v>154</v>
      </c>
      <c r="G61" s="26">
        <v>7.5</v>
      </c>
      <c r="H61" s="21" t="s">
        <v>243</v>
      </c>
      <c r="I61" s="23">
        <v>1</v>
      </c>
      <c r="J61" s="24">
        <v>134.37</v>
      </c>
      <c r="K61" s="32">
        <v>18.46</v>
      </c>
      <c r="L61" s="24">
        <v>17.920000000000002</v>
      </c>
      <c r="M61" s="34">
        <v>5</v>
      </c>
      <c r="N61" s="34" t="s">
        <v>829</v>
      </c>
      <c r="O61" s="22" t="str">
        <f>IF(ISNA(VLOOKUP(Table_master_data[[#This Row],[Pick]],Table2[#All],2,FALSE)),"-",VLOOKUP(Table_master_data[[#This Row],[Pick]],Table2[#All],2,FALSE))</f>
        <v>Solid MID/Premium DEF</v>
      </c>
      <c r="P61" s="22" t="s">
        <v>837</v>
      </c>
    </row>
    <row r="62" spans="2:16" x14ac:dyDescent="0.25">
      <c r="B62" s="21">
        <v>506</v>
      </c>
      <c r="C62" s="21" t="s">
        <v>460</v>
      </c>
      <c r="D62" s="21" t="s">
        <v>181</v>
      </c>
      <c r="E62" s="21" t="s">
        <v>374</v>
      </c>
      <c r="F62" s="25">
        <v>130</v>
      </c>
      <c r="G62" s="26">
        <v>5.5</v>
      </c>
      <c r="H62" s="21" t="s">
        <v>243</v>
      </c>
      <c r="I62" s="23">
        <v>1</v>
      </c>
      <c r="J62" s="24">
        <v>133.87</v>
      </c>
      <c r="K62" s="32">
        <v>18.850000000000001</v>
      </c>
      <c r="L62" s="24">
        <v>24.34</v>
      </c>
      <c r="M62" s="34">
        <v>6</v>
      </c>
      <c r="N62" s="34" t="s">
        <v>827</v>
      </c>
      <c r="O62" s="22" t="str">
        <f>IF(ISNA(VLOOKUP(Table_master_data[[#This Row],[Pick]],Table2[#All],2,FALSE)),"-",VLOOKUP(Table_master_data[[#This Row],[Pick]],Table2[#All],2,FALSE))</f>
        <v>Priority DEF</v>
      </c>
      <c r="P62" s="22" t="s">
        <v>4</v>
      </c>
    </row>
    <row r="63" spans="2:16" x14ac:dyDescent="0.25">
      <c r="B63" s="21">
        <v>256</v>
      </c>
      <c r="C63" s="21" t="s">
        <v>594</v>
      </c>
      <c r="D63" s="21" t="s">
        <v>181</v>
      </c>
      <c r="E63" s="21" t="s">
        <v>188</v>
      </c>
      <c r="F63" s="25">
        <v>142</v>
      </c>
      <c r="G63" s="26">
        <v>5.5</v>
      </c>
      <c r="H63" s="21" t="s">
        <v>243</v>
      </c>
      <c r="I63" s="23">
        <v>1</v>
      </c>
      <c r="J63" s="24">
        <v>131.81</v>
      </c>
      <c r="K63" s="32">
        <v>18.020000000000003</v>
      </c>
      <c r="L63" s="24">
        <v>23.97</v>
      </c>
      <c r="M63" s="34">
        <v>6</v>
      </c>
      <c r="N63" s="34"/>
      <c r="O63" s="22" t="str">
        <f>IF(ISNA(VLOOKUP(Table_master_data[[#This Row],[Pick]],Table2[#All],2,FALSE)),"-",VLOOKUP(Table_master_data[[#This Row],[Pick]],Table2[#All],2,FALSE))</f>
        <v>Priority DEF</v>
      </c>
      <c r="P63" s="22" t="s">
        <v>36</v>
      </c>
    </row>
    <row r="64" spans="2:16" x14ac:dyDescent="0.25">
      <c r="B64" s="21">
        <v>490</v>
      </c>
      <c r="C64" s="21" t="s">
        <v>60</v>
      </c>
      <c r="D64" s="21" t="s">
        <v>179</v>
      </c>
      <c r="E64" s="21" t="s">
        <v>186</v>
      </c>
      <c r="F64" s="25">
        <v>99</v>
      </c>
      <c r="G64" s="26">
        <v>6</v>
      </c>
      <c r="H64" s="21" t="s">
        <v>243</v>
      </c>
      <c r="I64" s="23">
        <v>1</v>
      </c>
      <c r="J64" s="24">
        <v>131.63999999999999</v>
      </c>
      <c r="K64" s="32">
        <v>17.18</v>
      </c>
      <c r="L64" s="24">
        <v>21.94</v>
      </c>
      <c r="M64" s="34">
        <v>5</v>
      </c>
      <c r="N64" s="34"/>
      <c r="O64" s="22" t="str">
        <f>IF(ISNA(VLOOKUP(Table_master_data[[#This Row],[Pick]],Table2[#All],2,FALSE)),"-",VLOOKUP(Table_master_data[[#This Row],[Pick]],Table2[#All],2,FALSE))</f>
        <v>Solid MID/Premium DEF</v>
      </c>
      <c r="P64" s="22"/>
    </row>
    <row r="65" spans="2:16" x14ac:dyDescent="0.25">
      <c r="B65" s="21">
        <v>582</v>
      </c>
      <c r="C65" s="21" t="s">
        <v>479</v>
      </c>
      <c r="D65" s="21" t="s">
        <v>179</v>
      </c>
      <c r="E65" s="21" t="s">
        <v>192</v>
      </c>
      <c r="F65" s="25">
        <v>106</v>
      </c>
      <c r="G65" s="26">
        <v>6.5</v>
      </c>
      <c r="H65" s="21" t="s">
        <v>243</v>
      </c>
      <c r="I65" s="23">
        <v>1</v>
      </c>
      <c r="J65" s="24">
        <v>131.13999999999999</v>
      </c>
      <c r="K65" s="32">
        <v>17.97</v>
      </c>
      <c r="L65" s="24">
        <v>20.18</v>
      </c>
      <c r="M65" s="34">
        <v>12</v>
      </c>
      <c r="N65" s="34"/>
      <c r="O65" s="22" t="str">
        <f>IF(ISNA(VLOOKUP(Table_master_data[[#This Row],[Pick]],Table2[#All],2,FALSE)),"-",VLOOKUP(Table_master_data[[#This Row],[Pick]],Table2[#All],2,FALSE))</f>
        <v>Rotation MID</v>
      </c>
      <c r="P65" s="22" t="s">
        <v>36</v>
      </c>
    </row>
    <row r="66" spans="2:16" x14ac:dyDescent="0.25">
      <c r="B66" s="21">
        <v>220</v>
      </c>
      <c r="C66" s="21" t="s">
        <v>600</v>
      </c>
      <c r="D66" s="21" t="s">
        <v>258</v>
      </c>
      <c r="E66" s="21" t="s">
        <v>187</v>
      </c>
      <c r="F66" s="25">
        <v>126</v>
      </c>
      <c r="G66" s="26">
        <v>5</v>
      </c>
      <c r="H66" s="21" t="s">
        <v>243</v>
      </c>
      <c r="I66" s="23">
        <v>1</v>
      </c>
      <c r="J66" s="24">
        <v>130.69999999999999</v>
      </c>
      <c r="K66" s="32">
        <v>17.61</v>
      </c>
      <c r="L66" s="24">
        <v>26.14</v>
      </c>
      <c r="M66" s="34">
        <v>8</v>
      </c>
      <c r="N66" s="34" t="s">
        <v>829</v>
      </c>
      <c r="O66" s="22" t="str">
        <f>IF(ISNA(VLOOKUP(Table_master_data[[#This Row],[Pick]],Table2[#All],2,FALSE)),"-",VLOOKUP(Table_master_data[[#This Row],[Pick]],Table2[#All],2,FALSE))</f>
        <v>Priority GK</v>
      </c>
      <c r="P66" s="22" t="s">
        <v>4</v>
      </c>
    </row>
    <row r="67" spans="2:16" x14ac:dyDescent="0.25">
      <c r="B67" s="21">
        <v>517</v>
      </c>
      <c r="C67" s="21" t="s">
        <v>333</v>
      </c>
      <c r="D67" s="21" t="s">
        <v>179</v>
      </c>
      <c r="E67" s="21" t="s">
        <v>374</v>
      </c>
      <c r="F67" s="25">
        <v>107</v>
      </c>
      <c r="G67" s="26">
        <v>5.5</v>
      </c>
      <c r="H67" s="21" t="s">
        <v>243</v>
      </c>
      <c r="I67" s="23">
        <v>1</v>
      </c>
      <c r="J67" s="24">
        <v>130.52000000000001</v>
      </c>
      <c r="K67" s="32">
        <v>18.32</v>
      </c>
      <c r="L67" s="24">
        <v>23.73</v>
      </c>
      <c r="M67" s="34">
        <v>12</v>
      </c>
      <c r="N67" s="34"/>
      <c r="O67" s="22" t="str">
        <f>IF(ISNA(VLOOKUP(Table_master_data[[#This Row],[Pick]],Table2[#All],2,FALSE)),"-",VLOOKUP(Table_master_data[[#This Row],[Pick]],Table2[#All],2,FALSE))</f>
        <v>Rotation MID</v>
      </c>
      <c r="P67" s="22"/>
    </row>
    <row r="68" spans="2:16" x14ac:dyDescent="0.25">
      <c r="B68" s="21">
        <v>419</v>
      </c>
      <c r="C68" s="21" t="s">
        <v>73</v>
      </c>
      <c r="D68" s="21" t="s">
        <v>179</v>
      </c>
      <c r="E68" s="21" t="s">
        <v>184</v>
      </c>
      <c r="F68" s="25">
        <v>38</v>
      </c>
      <c r="G68" s="26">
        <v>6.5</v>
      </c>
      <c r="H68" s="21" t="s">
        <v>243</v>
      </c>
      <c r="I68" s="23">
        <v>1</v>
      </c>
      <c r="J68" s="24">
        <v>130.41999999999999</v>
      </c>
      <c r="K68" s="32">
        <v>15.2</v>
      </c>
      <c r="L68" s="24">
        <v>20.059999999999999</v>
      </c>
      <c r="M68" s="34">
        <v>5</v>
      </c>
      <c r="N68" s="34"/>
      <c r="O68" s="22" t="str">
        <f>IF(ISNA(VLOOKUP(Table_master_data[[#This Row],[Pick]],Table2[#All],2,FALSE)),"-",VLOOKUP(Table_master_data[[#This Row],[Pick]],Table2[#All],2,FALSE))</f>
        <v>Solid MID/Premium DEF</v>
      </c>
      <c r="P68" s="22" t="s">
        <v>839</v>
      </c>
    </row>
    <row r="69" spans="2:16" x14ac:dyDescent="0.25">
      <c r="B69" s="21">
        <v>241</v>
      </c>
      <c r="C69" s="21" t="s">
        <v>86</v>
      </c>
      <c r="D69" s="21" t="s">
        <v>179</v>
      </c>
      <c r="E69" s="21" t="s">
        <v>187</v>
      </c>
      <c r="F69" s="25">
        <v>98</v>
      </c>
      <c r="G69" s="26">
        <v>5.5</v>
      </c>
      <c r="H69" s="21" t="s">
        <v>243</v>
      </c>
      <c r="I69" s="23">
        <v>1</v>
      </c>
      <c r="J69" s="24">
        <v>130.29</v>
      </c>
      <c r="K69" s="32">
        <v>17.25</v>
      </c>
      <c r="L69" s="24">
        <v>23.69</v>
      </c>
      <c r="M69" s="34">
        <v>12</v>
      </c>
      <c r="N69" s="34"/>
      <c r="O69" s="22" t="str">
        <f>IF(ISNA(VLOOKUP(Table_master_data[[#This Row],[Pick]],Table2[#All],2,FALSE)),"-",VLOOKUP(Table_master_data[[#This Row],[Pick]],Table2[#All],2,FALSE))</f>
        <v>Rotation MID</v>
      </c>
      <c r="P69" s="22"/>
    </row>
    <row r="70" spans="2:16" x14ac:dyDescent="0.25">
      <c r="B70" s="21">
        <v>646</v>
      </c>
      <c r="C70" s="21" t="s">
        <v>799</v>
      </c>
      <c r="D70" s="21" t="s">
        <v>179</v>
      </c>
      <c r="E70" s="21" t="s">
        <v>182</v>
      </c>
      <c r="F70" s="25">
        <v>87</v>
      </c>
      <c r="G70" s="26">
        <v>5.5</v>
      </c>
      <c r="H70" s="21" t="s">
        <v>243</v>
      </c>
      <c r="I70" s="23">
        <v>1</v>
      </c>
      <c r="J70" s="24">
        <v>130.09</v>
      </c>
      <c r="K70" s="32">
        <v>17.849999999999998</v>
      </c>
      <c r="L70" s="24">
        <v>23.65</v>
      </c>
      <c r="M70" s="34">
        <v>12</v>
      </c>
      <c r="N70" s="34"/>
      <c r="O70" s="22" t="str">
        <f>IF(ISNA(VLOOKUP(Table_master_data[[#This Row],[Pick]],Table2[#All],2,FALSE)),"-",VLOOKUP(Table_master_data[[#This Row],[Pick]],Table2[#All],2,FALSE))</f>
        <v>Rotation MID</v>
      </c>
      <c r="P70" s="22"/>
    </row>
    <row r="71" spans="2:16" x14ac:dyDescent="0.25">
      <c r="B71" s="21">
        <v>612</v>
      </c>
      <c r="C71" s="21" t="s">
        <v>809</v>
      </c>
      <c r="D71" s="21" t="s">
        <v>179</v>
      </c>
      <c r="E71" s="21" t="s">
        <v>372</v>
      </c>
      <c r="F71" s="25">
        <v>80</v>
      </c>
      <c r="G71" s="26">
        <v>6</v>
      </c>
      <c r="H71" s="21" t="s">
        <v>243</v>
      </c>
      <c r="I71" s="23">
        <v>1</v>
      </c>
      <c r="J71" s="24">
        <v>129.6</v>
      </c>
      <c r="K71" s="32">
        <v>18.510000000000002</v>
      </c>
      <c r="L71" s="24">
        <v>21.6</v>
      </c>
      <c r="M71" s="34">
        <v>12</v>
      </c>
      <c r="N71" s="34"/>
      <c r="O71" s="22" t="str">
        <f>IF(ISNA(VLOOKUP(Table_master_data[[#This Row],[Pick]],Table2[#All],2,FALSE)),"-",VLOOKUP(Table_master_data[[#This Row],[Pick]],Table2[#All],2,FALSE))</f>
        <v>Rotation MID</v>
      </c>
      <c r="P71" s="22"/>
    </row>
    <row r="72" spans="2:16" x14ac:dyDescent="0.25">
      <c r="B72" s="21">
        <v>399</v>
      </c>
      <c r="C72" s="21" t="s">
        <v>276</v>
      </c>
      <c r="D72" s="21" t="s">
        <v>258</v>
      </c>
      <c r="E72" s="21" t="s">
        <v>184</v>
      </c>
      <c r="F72" s="25">
        <v>111</v>
      </c>
      <c r="G72" s="26">
        <v>5.5</v>
      </c>
      <c r="H72" s="21" t="s">
        <v>243</v>
      </c>
      <c r="I72" s="23">
        <v>1</v>
      </c>
      <c r="J72" s="24">
        <v>129.57</v>
      </c>
      <c r="K72" s="32">
        <v>16.53</v>
      </c>
      <c r="L72" s="24">
        <v>23.56</v>
      </c>
      <c r="M72" s="34">
        <v>8</v>
      </c>
      <c r="N72" s="34" t="s">
        <v>829</v>
      </c>
      <c r="O72" s="22" t="str">
        <f>IF(ISNA(VLOOKUP(Table_master_data[[#This Row],[Pick]],Table2[#All],2,FALSE)),"-",VLOOKUP(Table_master_data[[#This Row],[Pick]],Table2[#All],2,FALSE))</f>
        <v>Priority GK</v>
      </c>
      <c r="P72" s="22" t="s">
        <v>839</v>
      </c>
    </row>
    <row r="73" spans="2:16" x14ac:dyDescent="0.25">
      <c r="B73" s="21">
        <v>543</v>
      </c>
      <c r="C73" s="21" t="s">
        <v>293</v>
      </c>
      <c r="D73" s="21" t="s">
        <v>179</v>
      </c>
      <c r="E73" s="21" t="s">
        <v>802</v>
      </c>
      <c r="F73" s="25">
        <v>60</v>
      </c>
      <c r="G73" s="26">
        <v>5.5</v>
      </c>
      <c r="H73" s="21" t="s">
        <v>243</v>
      </c>
      <c r="I73" s="23">
        <v>1</v>
      </c>
      <c r="J73" s="24">
        <v>129.54</v>
      </c>
      <c r="K73" s="32">
        <v>18.689999999999998</v>
      </c>
      <c r="L73" s="24">
        <v>23.55</v>
      </c>
      <c r="M73" s="34">
        <v>12</v>
      </c>
      <c r="N73" s="34"/>
      <c r="O73" s="22" t="str">
        <f>IF(ISNA(VLOOKUP(Table_master_data[[#This Row],[Pick]],Table2[#All],2,FALSE)),"-",VLOOKUP(Table_master_data[[#This Row],[Pick]],Table2[#All],2,FALSE))</f>
        <v>Rotation MID</v>
      </c>
      <c r="P73" s="22"/>
    </row>
    <row r="74" spans="2:16" x14ac:dyDescent="0.25">
      <c r="B74" s="21">
        <v>287</v>
      </c>
      <c r="C74" s="21" t="s">
        <v>26</v>
      </c>
      <c r="D74" s="21" t="s">
        <v>258</v>
      </c>
      <c r="E74" s="21" t="s">
        <v>185</v>
      </c>
      <c r="F74" s="25">
        <v>158</v>
      </c>
      <c r="G74" s="26">
        <v>5.5</v>
      </c>
      <c r="H74" s="21" t="s">
        <v>243</v>
      </c>
      <c r="I74" s="23">
        <v>1</v>
      </c>
      <c r="J74" s="24">
        <v>129.49</v>
      </c>
      <c r="K74" s="32">
        <v>16.95</v>
      </c>
      <c r="L74" s="24">
        <v>23.54</v>
      </c>
      <c r="M74" s="34">
        <v>8</v>
      </c>
      <c r="N74" s="34"/>
      <c r="O74" s="22" t="str">
        <f>IF(ISNA(VLOOKUP(Table_master_data[[#This Row],[Pick]],Table2[#All],2,FALSE)),"-",VLOOKUP(Table_master_data[[#This Row],[Pick]],Table2[#All],2,FALSE))</f>
        <v>Priority GK</v>
      </c>
      <c r="P74" s="22" t="s">
        <v>840</v>
      </c>
    </row>
    <row r="75" spans="2:16" x14ac:dyDescent="0.25">
      <c r="B75" s="21">
        <v>84</v>
      </c>
      <c r="C75" s="21" t="s">
        <v>300</v>
      </c>
      <c r="D75" s="21" t="s">
        <v>179</v>
      </c>
      <c r="E75" s="21" t="s">
        <v>190</v>
      </c>
      <c r="F75" s="25">
        <v>87</v>
      </c>
      <c r="G75" s="26">
        <v>5.5</v>
      </c>
      <c r="H75" s="21" t="s">
        <v>243</v>
      </c>
      <c r="I75" s="23">
        <v>1</v>
      </c>
      <c r="J75" s="24">
        <v>129.49</v>
      </c>
      <c r="K75" s="32">
        <v>17.12</v>
      </c>
      <c r="L75" s="24">
        <v>23.54</v>
      </c>
      <c r="M75" s="34">
        <v>12</v>
      </c>
      <c r="N75" s="34"/>
      <c r="O75" s="22" t="str">
        <f>IF(ISNA(VLOOKUP(Table_master_data[[#This Row],[Pick]],Table2[#All],2,FALSE)),"-",VLOOKUP(Table_master_data[[#This Row],[Pick]],Table2[#All],2,FALSE))</f>
        <v>Rotation MID</v>
      </c>
      <c r="P75" s="22"/>
    </row>
    <row r="76" spans="2:16" x14ac:dyDescent="0.25">
      <c r="B76" s="21">
        <v>505</v>
      </c>
      <c r="C76" s="21" t="s">
        <v>459</v>
      </c>
      <c r="D76" s="21" t="s">
        <v>181</v>
      </c>
      <c r="E76" s="21" t="s">
        <v>374</v>
      </c>
      <c r="F76" s="25">
        <v>145</v>
      </c>
      <c r="G76" s="26">
        <v>5.5</v>
      </c>
      <c r="H76" s="21" t="s">
        <v>243</v>
      </c>
      <c r="I76" s="23">
        <v>1</v>
      </c>
      <c r="J76" s="24">
        <v>129.08000000000001</v>
      </c>
      <c r="K76" s="32">
        <v>18.149999999999999</v>
      </c>
      <c r="L76" s="24">
        <v>23.47</v>
      </c>
      <c r="M76" s="34">
        <v>6</v>
      </c>
      <c r="N76" s="34" t="s">
        <v>827</v>
      </c>
      <c r="O76" s="22" t="str">
        <f>IF(ISNA(VLOOKUP(Table_master_data[[#This Row],[Pick]],Table2[#All],2,FALSE)),"-",VLOOKUP(Table_master_data[[#This Row],[Pick]],Table2[#All],2,FALSE))</f>
        <v>Priority DEF</v>
      </c>
      <c r="P76" s="22" t="s">
        <v>840</v>
      </c>
    </row>
    <row r="77" spans="2:16" x14ac:dyDescent="0.25">
      <c r="B77" s="21">
        <v>452</v>
      </c>
      <c r="C77" s="21" t="s">
        <v>338</v>
      </c>
      <c r="D77" s="21" t="s">
        <v>179</v>
      </c>
      <c r="E77" s="21" t="s">
        <v>193</v>
      </c>
      <c r="F77" s="25">
        <v>129</v>
      </c>
      <c r="G77" s="26">
        <v>6.5</v>
      </c>
      <c r="H77" s="21" t="s">
        <v>243</v>
      </c>
      <c r="I77" s="23">
        <v>1</v>
      </c>
      <c r="J77" s="24">
        <v>128.22999999999999</v>
      </c>
      <c r="K77" s="32">
        <v>15.65</v>
      </c>
      <c r="L77" s="24">
        <v>19.73</v>
      </c>
      <c r="M77" s="34">
        <v>2</v>
      </c>
      <c r="N77" s="34"/>
      <c r="O77" s="22" t="str">
        <f>IF(ISNA(VLOOKUP(Table_master_data[[#This Row],[Pick]],Table2[#All],2,FALSE)),"-",VLOOKUP(Table_master_data[[#This Row],[Pick]],Table2[#All],2,FALSE))</f>
        <v>Premium MID/FWD</v>
      </c>
      <c r="P77" s="22" t="s">
        <v>841</v>
      </c>
    </row>
    <row r="78" spans="2:16" x14ac:dyDescent="0.25">
      <c r="B78" s="21">
        <v>353</v>
      </c>
      <c r="C78" s="21" t="s">
        <v>4</v>
      </c>
      <c r="D78" s="21" t="s">
        <v>179</v>
      </c>
      <c r="E78" s="21" t="s">
        <v>815</v>
      </c>
      <c r="F78" s="25">
        <v>0</v>
      </c>
      <c r="G78" s="26">
        <v>5.5</v>
      </c>
      <c r="H78" s="21" t="s">
        <v>243</v>
      </c>
      <c r="I78" s="23">
        <v>1</v>
      </c>
      <c r="J78" s="24">
        <v>128.13</v>
      </c>
      <c r="K78" s="32">
        <v>16.88</v>
      </c>
      <c r="L78" s="24">
        <v>23.3</v>
      </c>
      <c r="M78" s="34">
        <v>12</v>
      </c>
      <c r="N78" s="34"/>
      <c r="O78" s="22" t="str">
        <f>IF(ISNA(VLOOKUP(Table_master_data[[#This Row],[Pick]],Table2[#All],2,FALSE)),"-",VLOOKUP(Table_master_data[[#This Row],[Pick]],Table2[#All],2,FALSE))</f>
        <v>Rotation MID</v>
      </c>
      <c r="P78" s="22"/>
    </row>
    <row r="79" spans="2:16" x14ac:dyDescent="0.25">
      <c r="B79" s="21">
        <v>351</v>
      </c>
      <c r="C79" s="21" t="s">
        <v>683</v>
      </c>
      <c r="D79" s="21" t="s">
        <v>179</v>
      </c>
      <c r="E79" s="21" t="s">
        <v>815</v>
      </c>
      <c r="F79" s="25">
        <v>0</v>
      </c>
      <c r="G79" s="26">
        <v>5.5</v>
      </c>
      <c r="H79" s="21" t="s">
        <v>243</v>
      </c>
      <c r="I79" s="23">
        <v>1</v>
      </c>
      <c r="J79" s="24">
        <v>127.92</v>
      </c>
      <c r="K79" s="32">
        <v>16.920000000000002</v>
      </c>
      <c r="L79" s="24">
        <v>23.26</v>
      </c>
      <c r="M79" s="34">
        <v>12</v>
      </c>
      <c r="N79" s="34"/>
      <c r="O79" s="22" t="str">
        <f>IF(ISNA(VLOOKUP(Table_master_data[[#This Row],[Pick]],Table2[#All],2,FALSE)),"-",VLOOKUP(Table_master_data[[#This Row],[Pick]],Table2[#All],2,FALSE))</f>
        <v>Rotation MID</v>
      </c>
      <c r="P79" s="22"/>
    </row>
    <row r="80" spans="2:16" x14ac:dyDescent="0.25">
      <c r="B80" s="21">
        <v>474</v>
      </c>
      <c r="C80" s="21" t="s">
        <v>359</v>
      </c>
      <c r="D80" s="21" t="s">
        <v>181</v>
      </c>
      <c r="E80" s="21" t="s">
        <v>186</v>
      </c>
      <c r="F80" s="25">
        <v>118</v>
      </c>
      <c r="G80" s="26">
        <v>5.5</v>
      </c>
      <c r="H80" s="21" t="s">
        <v>243</v>
      </c>
      <c r="I80" s="23">
        <v>1</v>
      </c>
      <c r="J80" s="24">
        <v>127.35</v>
      </c>
      <c r="K80" s="32">
        <v>15.89</v>
      </c>
      <c r="L80" s="24">
        <v>23.15</v>
      </c>
      <c r="M80" s="34">
        <v>9</v>
      </c>
      <c r="N80" s="34" t="s">
        <v>829</v>
      </c>
      <c r="O80" s="22" t="str">
        <f>IF(ISNA(VLOOKUP(Table_master_data[[#This Row],[Pick]],Table2[#All],2,FALSE)),"-",VLOOKUP(Table_master_data[[#This Row],[Pick]],Table2[#All],2,FALSE))</f>
        <v>Solid DEF</v>
      </c>
      <c r="P80" s="22" t="s">
        <v>842</v>
      </c>
    </row>
    <row r="81" spans="2:16" x14ac:dyDescent="0.25">
      <c r="B81" s="21">
        <v>362</v>
      </c>
      <c r="C81" s="21" t="s">
        <v>674</v>
      </c>
      <c r="D81" s="21" t="s">
        <v>178</v>
      </c>
      <c r="E81" s="21" t="s">
        <v>815</v>
      </c>
      <c r="F81" s="25">
        <v>0</v>
      </c>
      <c r="G81" s="26">
        <v>5.5</v>
      </c>
      <c r="H81" s="21" t="s">
        <v>243</v>
      </c>
      <c r="I81" s="23">
        <v>1</v>
      </c>
      <c r="J81" s="24">
        <v>126.71</v>
      </c>
      <c r="K81" s="32">
        <v>16.63</v>
      </c>
      <c r="L81" s="24">
        <v>23.04</v>
      </c>
      <c r="M81" s="34">
        <v>7</v>
      </c>
      <c r="N81" s="34"/>
      <c r="O81" s="22" t="str">
        <f>IF(ISNA(VLOOKUP(Table_master_data[[#This Row],[Pick]],Table2[#All],2,FALSE)),"-",VLOOKUP(Table_master_data[[#This Row],[Pick]],Table2[#All],2,FALSE))</f>
        <v>Second FWD</v>
      </c>
      <c r="P81" s="22" t="s">
        <v>842</v>
      </c>
    </row>
    <row r="82" spans="2:16" x14ac:dyDescent="0.25">
      <c r="B82" s="21">
        <v>72</v>
      </c>
      <c r="C82" s="21" t="s">
        <v>302</v>
      </c>
      <c r="D82" s="21" t="s">
        <v>181</v>
      </c>
      <c r="E82" s="21" t="s">
        <v>190</v>
      </c>
      <c r="F82" s="25">
        <v>31</v>
      </c>
      <c r="G82" s="26">
        <v>4.5</v>
      </c>
      <c r="H82" s="21" t="s">
        <v>243</v>
      </c>
      <c r="I82" s="23">
        <v>1</v>
      </c>
      <c r="J82" s="24">
        <v>126.36</v>
      </c>
      <c r="K82" s="32">
        <v>16.29</v>
      </c>
      <c r="L82" s="24">
        <v>28.08</v>
      </c>
      <c r="M82" s="34">
        <v>10</v>
      </c>
      <c r="N82" s="34" t="s">
        <v>830</v>
      </c>
      <c r="O82" s="22" t="str">
        <f>IF(ISNA(VLOOKUP(Table_master_data[[#This Row],[Pick]],Table2[#All],2,FALSE)),"-",VLOOKUP(Table_master_data[[#This Row],[Pick]],Table2[#All],2,FALSE))</f>
        <v>Solid DEF</v>
      </c>
      <c r="P82" s="22"/>
    </row>
    <row r="83" spans="2:16" x14ac:dyDescent="0.25">
      <c r="B83" s="21">
        <v>660</v>
      </c>
      <c r="C83" s="21" t="s">
        <v>688</v>
      </c>
      <c r="D83" s="21" t="s">
        <v>179</v>
      </c>
      <c r="E83" s="21" t="s">
        <v>815</v>
      </c>
      <c r="F83" s="25">
        <v>0</v>
      </c>
      <c r="G83" s="26">
        <v>5</v>
      </c>
      <c r="H83" s="21" t="s">
        <v>243</v>
      </c>
      <c r="I83" s="23">
        <v>1</v>
      </c>
      <c r="J83" s="24">
        <v>126.36</v>
      </c>
      <c r="K83" s="32">
        <v>16.810000000000002</v>
      </c>
      <c r="L83" s="24">
        <v>25.27</v>
      </c>
      <c r="M83" s="34">
        <v>12</v>
      </c>
      <c r="N83" s="34"/>
      <c r="O83" s="22" t="str">
        <f>IF(ISNA(VLOOKUP(Table_master_data[[#This Row],[Pick]],Table2[#All],2,FALSE)),"-",VLOOKUP(Table_master_data[[#This Row],[Pick]],Table2[#All],2,FALSE))</f>
        <v>Rotation MID</v>
      </c>
      <c r="P83" s="22"/>
    </row>
    <row r="84" spans="2:16" x14ac:dyDescent="0.25">
      <c r="B84" s="21">
        <v>200</v>
      </c>
      <c r="C84" s="21" t="s">
        <v>65</v>
      </c>
      <c r="D84" s="21" t="s">
        <v>179</v>
      </c>
      <c r="E84" s="21" t="s">
        <v>508</v>
      </c>
      <c r="F84" s="25">
        <v>0</v>
      </c>
      <c r="G84" s="26">
        <v>5.5</v>
      </c>
      <c r="H84" s="21" t="s">
        <v>243</v>
      </c>
      <c r="I84" s="23">
        <v>1</v>
      </c>
      <c r="J84" s="24">
        <v>126.13</v>
      </c>
      <c r="K84" s="32">
        <v>16.66</v>
      </c>
      <c r="L84" s="24">
        <v>22.93</v>
      </c>
      <c r="M84" s="34">
        <v>12</v>
      </c>
      <c r="N84" s="34"/>
      <c r="O84" s="22" t="str">
        <f>IF(ISNA(VLOOKUP(Table_master_data[[#This Row],[Pick]],Table2[#All],2,FALSE)),"-",VLOOKUP(Table_master_data[[#This Row],[Pick]],Table2[#All],2,FALSE))</f>
        <v>Rotation MID</v>
      </c>
      <c r="P84" s="22"/>
    </row>
    <row r="85" spans="2:16" x14ac:dyDescent="0.25">
      <c r="B85" s="21">
        <v>370</v>
      </c>
      <c r="C85" s="21" t="s">
        <v>690</v>
      </c>
      <c r="D85" s="21" t="s">
        <v>181</v>
      </c>
      <c r="E85" s="21" t="s">
        <v>180</v>
      </c>
      <c r="F85" s="25">
        <v>0</v>
      </c>
      <c r="G85" s="26">
        <v>6</v>
      </c>
      <c r="H85" s="21" t="s">
        <v>243</v>
      </c>
      <c r="I85" s="23">
        <v>1</v>
      </c>
      <c r="J85" s="24">
        <v>125.93</v>
      </c>
      <c r="K85" s="32">
        <v>19.32</v>
      </c>
      <c r="L85" s="24">
        <v>20.99</v>
      </c>
      <c r="M85" s="34">
        <v>3</v>
      </c>
      <c r="N85" s="34" t="s">
        <v>827</v>
      </c>
      <c r="O85" s="22" t="str">
        <f>IF(ISNA(VLOOKUP(Table_master_data[[#This Row],[Pick]],Table2[#All],2,FALSE)),"-",VLOOKUP(Table_master_data[[#This Row],[Pick]],Table2[#All],2,FALSE))</f>
        <v>Priority MID/FWD</v>
      </c>
      <c r="P85" s="22" t="s">
        <v>838</v>
      </c>
    </row>
    <row r="86" spans="2:16" x14ac:dyDescent="0.25">
      <c r="B86" s="21">
        <v>387</v>
      </c>
      <c r="C86" s="21" t="s">
        <v>284</v>
      </c>
      <c r="D86" s="21" t="s">
        <v>179</v>
      </c>
      <c r="E86" s="21" t="s">
        <v>180</v>
      </c>
      <c r="F86" s="25">
        <v>143</v>
      </c>
      <c r="G86" s="26">
        <v>6.5</v>
      </c>
      <c r="H86" s="21" t="s">
        <v>243</v>
      </c>
      <c r="I86" s="23">
        <v>1</v>
      </c>
      <c r="J86" s="24">
        <v>125.7</v>
      </c>
      <c r="K86" s="32">
        <v>18.41</v>
      </c>
      <c r="L86" s="24">
        <v>19.34</v>
      </c>
      <c r="M86" s="34">
        <v>12</v>
      </c>
      <c r="N86" s="34"/>
      <c r="O86" s="22" t="str">
        <f>IF(ISNA(VLOOKUP(Table_master_data[[#This Row],[Pick]],Table2[#All],2,FALSE)),"-",VLOOKUP(Table_master_data[[#This Row],[Pick]],Table2[#All],2,FALSE))</f>
        <v>Rotation MID</v>
      </c>
      <c r="P86" s="22"/>
    </row>
    <row r="87" spans="2:16" x14ac:dyDescent="0.25">
      <c r="B87" s="21">
        <v>314</v>
      </c>
      <c r="C87" s="21" t="s">
        <v>162</v>
      </c>
      <c r="D87" s="21" t="s">
        <v>258</v>
      </c>
      <c r="E87" s="21" t="s">
        <v>189</v>
      </c>
      <c r="F87" s="25">
        <v>115</v>
      </c>
      <c r="G87" s="26">
        <v>5</v>
      </c>
      <c r="H87" s="21" t="s">
        <v>243</v>
      </c>
      <c r="I87" s="23">
        <v>1</v>
      </c>
      <c r="J87" s="24">
        <v>125.34</v>
      </c>
      <c r="K87" s="32">
        <v>16.84</v>
      </c>
      <c r="L87" s="24">
        <v>25.07</v>
      </c>
      <c r="M87" s="34">
        <v>8</v>
      </c>
      <c r="N87" s="34"/>
      <c r="O87" s="22" t="str">
        <f>IF(ISNA(VLOOKUP(Table_master_data[[#This Row],[Pick]],Table2[#All],2,FALSE)),"-",VLOOKUP(Table_master_data[[#This Row],[Pick]],Table2[#All],2,FALSE))</f>
        <v>Priority GK</v>
      </c>
      <c r="P87" s="22" t="s">
        <v>841</v>
      </c>
    </row>
    <row r="88" spans="2:16" x14ac:dyDescent="0.25">
      <c r="B88" s="21">
        <v>239</v>
      </c>
      <c r="C88" s="21" t="s">
        <v>539</v>
      </c>
      <c r="D88" s="21" t="s">
        <v>179</v>
      </c>
      <c r="E88" s="21" t="s">
        <v>187</v>
      </c>
      <c r="F88" s="25">
        <v>0</v>
      </c>
      <c r="G88" s="26">
        <v>6.5</v>
      </c>
      <c r="H88" s="21" t="s">
        <v>243</v>
      </c>
      <c r="I88" s="23">
        <v>1</v>
      </c>
      <c r="J88" s="24">
        <v>125.33</v>
      </c>
      <c r="K88" s="32">
        <v>17.580000000000002</v>
      </c>
      <c r="L88" s="24">
        <v>19.28</v>
      </c>
      <c r="M88" s="34">
        <v>12</v>
      </c>
      <c r="N88" s="34"/>
      <c r="O88" s="22" t="str">
        <f>IF(ISNA(VLOOKUP(Table_master_data[[#This Row],[Pick]],Table2[#All],2,FALSE)),"-",VLOOKUP(Table_master_data[[#This Row],[Pick]],Table2[#All],2,FALSE))</f>
        <v>Rotation MID</v>
      </c>
      <c r="P88" s="22" t="s">
        <v>838</v>
      </c>
    </row>
    <row r="89" spans="2:16" x14ac:dyDescent="0.25">
      <c r="B89" s="21">
        <v>565</v>
      </c>
      <c r="C89" s="21" t="s">
        <v>347</v>
      </c>
      <c r="D89" s="21" t="s">
        <v>258</v>
      </c>
      <c r="E89" s="21" t="s">
        <v>192</v>
      </c>
      <c r="F89" s="25">
        <v>66</v>
      </c>
      <c r="G89" s="26">
        <v>5</v>
      </c>
      <c r="H89" s="21" t="s">
        <v>243</v>
      </c>
      <c r="I89" s="23">
        <v>1</v>
      </c>
      <c r="J89" s="24">
        <v>125.09</v>
      </c>
      <c r="K89" s="32">
        <v>16.59</v>
      </c>
      <c r="L89" s="24">
        <v>25.02</v>
      </c>
      <c r="M89" s="34">
        <v>15</v>
      </c>
      <c r="N89" s="34" t="s">
        <v>826</v>
      </c>
      <c r="O89" s="22" t="str">
        <f>IF(ISNA(VLOOKUP(Table_master_data[[#This Row],[Pick]],Table2[#All],2,FALSE)),"-",VLOOKUP(Table_master_data[[#This Row],[Pick]],Table2[#All],2,FALSE))</f>
        <v>Backup GK</v>
      </c>
      <c r="P89" s="22" t="s">
        <v>36</v>
      </c>
    </row>
    <row r="90" spans="2:16" x14ac:dyDescent="0.25">
      <c r="B90" s="21">
        <v>290</v>
      </c>
      <c r="C90" s="21" t="s">
        <v>326</v>
      </c>
      <c r="D90" s="21" t="s">
        <v>181</v>
      </c>
      <c r="E90" s="21" t="s">
        <v>185</v>
      </c>
      <c r="F90" s="25">
        <v>88</v>
      </c>
      <c r="G90" s="26">
        <v>5.5</v>
      </c>
      <c r="H90" s="21" t="s">
        <v>243</v>
      </c>
      <c r="I90" s="23">
        <v>1</v>
      </c>
      <c r="J90" s="24">
        <v>124.65</v>
      </c>
      <c r="K90" s="32">
        <v>16.28</v>
      </c>
      <c r="L90" s="24">
        <v>22.66</v>
      </c>
      <c r="M90" s="34">
        <v>10</v>
      </c>
      <c r="N90" s="34"/>
      <c r="O90" s="22" t="str">
        <f>IF(ISNA(VLOOKUP(Table_master_data[[#This Row],[Pick]],Table2[#All],2,FALSE)),"-",VLOOKUP(Table_master_data[[#This Row],[Pick]],Table2[#All],2,FALSE))</f>
        <v>Solid DEF</v>
      </c>
      <c r="P90" s="22" t="s">
        <v>36</v>
      </c>
    </row>
    <row r="91" spans="2:16" x14ac:dyDescent="0.25">
      <c r="B91" s="21">
        <v>139</v>
      </c>
      <c r="C91" s="21" t="s">
        <v>289</v>
      </c>
      <c r="D91" s="21" t="s">
        <v>258</v>
      </c>
      <c r="E91" s="21" t="s">
        <v>373</v>
      </c>
      <c r="F91" s="25">
        <v>103</v>
      </c>
      <c r="G91" s="26">
        <v>4.5</v>
      </c>
      <c r="H91" s="21" t="s">
        <v>243</v>
      </c>
      <c r="I91" s="23">
        <v>1</v>
      </c>
      <c r="J91" s="24">
        <v>124.64</v>
      </c>
      <c r="K91" s="32">
        <v>16.440000000000001</v>
      </c>
      <c r="L91" s="24">
        <v>27.7</v>
      </c>
      <c r="M91" s="34">
        <v>15</v>
      </c>
      <c r="N91" s="34" t="s">
        <v>826</v>
      </c>
      <c r="O91" s="22" t="str">
        <f>IF(ISNA(VLOOKUP(Table_master_data[[#This Row],[Pick]],Table2[#All],2,FALSE)),"-",VLOOKUP(Table_master_data[[#This Row],[Pick]],Table2[#All],2,FALSE))</f>
        <v>Backup GK</v>
      </c>
      <c r="P91" s="22" t="s">
        <v>842</v>
      </c>
    </row>
    <row r="92" spans="2:16" x14ac:dyDescent="0.25">
      <c r="B92" s="21">
        <v>491</v>
      </c>
      <c r="C92" s="21" t="s">
        <v>298</v>
      </c>
      <c r="D92" s="21" t="s">
        <v>179</v>
      </c>
      <c r="E92" s="21" t="s">
        <v>186</v>
      </c>
      <c r="F92" s="25">
        <v>106</v>
      </c>
      <c r="G92" s="26">
        <v>5.5</v>
      </c>
      <c r="H92" s="21" t="s">
        <v>243</v>
      </c>
      <c r="I92" s="23">
        <v>1</v>
      </c>
      <c r="J92" s="24">
        <v>124.41</v>
      </c>
      <c r="K92" s="32">
        <v>16.29</v>
      </c>
      <c r="L92" s="24">
        <v>22.62</v>
      </c>
      <c r="M92" s="34">
        <v>12</v>
      </c>
      <c r="N92" s="34"/>
      <c r="O92" s="22" t="str">
        <f>IF(ISNA(VLOOKUP(Table_master_data[[#This Row],[Pick]],Table2[#All],2,FALSE)),"-",VLOOKUP(Table_master_data[[#This Row],[Pick]],Table2[#All],2,FALSE))</f>
        <v>Rotation MID</v>
      </c>
      <c r="P92" s="22" t="s">
        <v>841</v>
      </c>
    </row>
    <row r="93" spans="2:16" x14ac:dyDescent="0.25">
      <c r="B93" s="21">
        <v>225</v>
      </c>
      <c r="C93" s="21" t="s">
        <v>4</v>
      </c>
      <c r="D93" s="21" t="s">
        <v>181</v>
      </c>
      <c r="E93" s="21" t="s">
        <v>187</v>
      </c>
      <c r="F93" s="25">
        <v>54</v>
      </c>
      <c r="G93" s="26">
        <v>5.5</v>
      </c>
      <c r="H93" s="21" t="s">
        <v>243</v>
      </c>
      <c r="I93" s="23">
        <v>1</v>
      </c>
      <c r="J93" s="24">
        <v>124.4</v>
      </c>
      <c r="K93" s="32">
        <v>16.759999999999998</v>
      </c>
      <c r="L93" s="24">
        <v>22.62</v>
      </c>
      <c r="M93" s="34">
        <v>10</v>
      </c>
      <c r="N93" s="34"/>
      <c r="O93" s="22" t="str">
        <f>IF(ISNA(VLOOKUP(Table_master_data[[#This Row],[Pick]],Table2[#All],2,FALSE)),"-",VLOOKUP(Table_master_data[[#This Row],[Pick]],Table2[#All],2,FALSE))</f>
        <v>Solid DEF</v>
      </c>
      <c r="P93" s="22" t="s">
        <v>838</v>
      </c>
    </row>
    <row r="94" spans="2:16" x14ac:dyDescent="0.25">
      <c r="B94" s="21">
        <v>486</v>
      </c>
      <c r="C94" s="21" t="s">
        <v>99</v>
      </c>
      <c r="D94" s="21" t="s">
        <v>179</v>
      </c>
      <c r="E94" s="21" t="s">
        <v>186</v>
      </c>
      <c r="F94" s="25">
        <v>153</v>
      </c>
      <c r="G94" s="26">
        <v>7</v>
      </c>
      <c r="H94" s="21" t="s">
        <v>243</v>
      </c>
      <c r="I94" s="23">
        <v>1</v>
      </c>
      <c r="J94" s="24">
        <v>124.27</v>
      </c>
      <c r="K94" s="32">
        <v>10.379999999999999</v>
      </c>
      <c r="L94" s="24">
        <v>17.75</v>
      </c>
      <c r="M94" s="34">
        <v>5</v>
      </c>
      <c r="N94" s="34"/>
      <c r="O94" s="22" t="str">
        <f>IF(ISNA(VLOOKUP(Table_master_data[[#This Row],[Pick]],Table2[#All],2,FALSE)),"-",VLOOKUP(Table_master_data[[#This Row],[Pick]],Table2[#All],2,FALSE))</f>
        <v>Solid MID/Premium DEF</v>
      </c>
      <c r="P94" s="22" t="s">
        <v>839</v>
      </c>
    </row>
    <row r="95" spans="2:16" x14ac:dyDescent="0.25">
      <c r="B95" s="21">
        <v>544</v>
      </c>
      <c r="C95" s="21" t="s">
        <v>773</v>
      </c>
      <c r="D95" s="21" t="s">
        <v>179</v>
      </c>
      <c r="E95" s="21" t="s">
        <v>802</v>
      </c>
      <c r="F95" s="25">
        <v>0</v>
      </c>
      <c r="G95" s="26">
        <v>5.5</v>
      </c>
      <c r="H95" s="21" t="s">
        <v>243</v>
      </c>
      <c r="I95" s="23">
        <v>1</v>
      </c>
      <c r="J95" s="24">
        <v>124.23</v>
      </c>
      <c r="K95" s="32">
        <v>17.2</v>
      </c>
      <c r="L95" s="24">
        <v>22.59</v>
      </c>
      <c r="M95" s="34">
        <v>12</v>
      </c>
      <c r="N95" s="34"/>
      <c r="O95" s="22" t="str">
        <f>IF(ISNA(VLOOKUP(Table_master_data[[#This Row],[Pick]],Table2[#All],2,FALSE)),"-",VLOOKUP(Table_master_data[[#This Row],[Pick]],Table2[#All],2,FALSE))</f>
        <v>Rotation MID</v>
      </c>
      <c r="P95" s="22"/>
    </row>
    <row r="96" spans="2:16" x14ac:dyDescent="0.25">
      <c r="B96" s="21">
        <v>253</v>
      </c>
      <c r="C96" s="21" t="s">
        <v>35</v>
      </c>
      <c r="D96" s="21" t="s">
        <v>258</v>
      </c>
      <c r="E96" s="21" t="s">
        <v>188</v>
      </c>
      <c r="F96" s="25">
        <v>135</v>
      </c>
      <c r="G96" s="26">
        <v>5</v>
      </c>
      <c r="H96" s="21" t="s">
        <v>243</v>
      </c>
      <c r="I96" s="23">
        <v>1</v>
      </c>
      <c r="J96" s="24">
        <v>123.68</v>
      </c>
      <c r="K96" s="32">
        <v>16.84</v>
      </c>
      <c r="L96" s="24">
        <v>24.74</v>
      </c>
      <c r="M96" s="34">
        <v>15</v>
      </c>
      <c r="N96" s="34" t="s">
        <v>829</v>
      </c>
      <c r="O96" s="22" t="str">
        <f>IF(ISNA(VLOOKUP(Table_master_data[[#This Row],[Pick]],Table2[#All],2,FALSE)),"-",VLOOKUP(Table_master_data[[#This Row],[Pick]],Table2[#All],2,FALSE))</f>
        <v>Backup GK</v>
      </c>
      <c r="P96" s="22" t="s">
        <v>837</v>
      </c>
    </row>
    <row r="97" spans="2:16" x14ac:dyDescent="0.25">
      <c r="B97" s="21">
        <v>302</v>
      </c>
      <c r="C97" s="21" t="s">
        <v>321</v>
      </c>
      <c r="D97" s="21" t="s">
        <v>179</v>
      </c>
      <c r="E97" s="21" t="s">
        <v>185</v>
      </c>
      <c r="F97" s="25">
        <v>89</v>
      </c>
      <c r="G97" s="26">
        <v>5.5</v>
      </c>
      <c r="H97" s="21" t="s">
        <v>243</v>
      </c>
      <c r="I97" s="23">
        <v>1</v>
      </c>
      <c r="J97" s="24">
        <v>123.56</v>
      </c>
      <c r="K97" s="32">
        <v>16.3</v>
      </c>
      <c r="L97" s="24">
        <v>22.47</v>
      </c>
      <c r="M97" s="34">
        <v>12</v>
      </c>
      <c r="N97" s="34"/>
      <c r="O97" s="22" t="str">
        <f>IF(ISNA(VLOOKUP(Table_master_data[[#This Row],[Pick]],Table2[#All],2,FALSE)),"-",VLOOKUP(Table_master_data[[#This Row],[Pick]],Table2[#All],2,FALSE))</f>
        <v>Rotation MID</v>
      </c>
      <c r="P97" s="22"/>
    </row>
    <row r="98" spans="2:16" x14ac:dyDescent="0.25">
      <c r="B98" s="21">
        <v>106</v>
      </c>
      <c r="C98" s="21" t="s">
        <v>177</v>
      </c>
      <c r="D98" s="21" t="s">
        <v>181</v>
      </c>
      <c r="E98" s="21" t="s">
        <v>183</v>
      </c>
      <c r="F98" s="25">
        <v>127</v>
      </c>
      <c r="G98" s="26">
        <v>5</v>
      </c>
      <c r="H98" s="21" t="s">
        <v>243</v>
      </c>
      <c r="I98" s="23">
        <v>1</v>
      </c>
      <c r="J98" s="24">
        <v>123.43</v>
      </c>
      <c r="K98" s="32">
        <v>16.649999999999999</v>
      </c>
      <c r="L98" s="24">
        <v>24.69</v>
      </c>
      <c r="M98" s="34">
        <v>10</v>
      </c>
      <c r="N98" s="34" t="s">
        <v>830</v>
      </c>
      <c r="O98" s="22" t="str">
        <f>IF(ISNA(VLOOKUP(Table_master_data[[#This Row],[Pick]],Table2[#All],2,FALSE)),"-",VLOOKUP(Table_master_data[[#This Row],[Pick]],Table2[#All],2,FALSE))</f>
        <v>Solid DEF</v>
      </c>
      <c r="P98" s="22" t="s">
        <v>842</v>
      </c>
    </row>
    <row r="99" spans="2:16" x14ac:dyDescent="0.25">
      <c r="B99" s="21">
        <v>413</v>
      </c>
      <c r="C99" s="21" t="s">
        <v>709</v>
      </c>
      <c r="D99" s="21" t="s">
        <v>179</v>
      </c>
      <c r="E99" s="21" t="s">
        <v>184</v>
      </c>
      <c r="F99" s="25">
        <v>73</v>
      </c>
      <c r="G99" s="26">
        <v>8.5</v>
      </c>
      <c r="H99" s="21" t="s">
        <v>243</v>
      </c>
      <c r="I99" s="23">
        <v>1</v>
      </c>
      <c r="J99" s="24">
        <v>121.93</v>
      </c>
      <c r="K99" s="32">
        <v>14.149999999999999</v>
      </c>
      <c r="L99" s="24">
        <v>14.34</v>
      </c>
      <c r="M99" s="34">
        <v>5</v>
      </c>
      <c r="N99" s="34"/>
      <c r="O99" s="22" t="str">
        <f>IF(ISNA(VLOOKUP(Table_master_data[[#This Row],[Pick]],Table2[#All],2,FALSE)),"-",VLOOKUP(Table_master_data[[#This Row],[Pick]],Table2[#All],2,FALSE))</f>
        <v>Solid MID/Premium DEF</v>
      </c>
      <c r="P99" s="22" t="s">
        <v>36</v>
      </c>
    </row>
    <row r="100" spans="2:16" x14ac:dyDescent="0.25">
      <c r="B100" s="21">
        <v>610</v>
      </c>
      <c r="C100" s="21" t="s">
        <v>141</v>
      </c>
      <c r="D100" s="21" t="s">
        <v>181</v>
      </c>
      <c r="E100" s="21" t="s">
        <v>372</v>
      </c>
      <c r="F100" s="25">
        <v>118</v>
      </c>
      <c r="G100" s="26">
        <v>4.5</v>
      </c>
      <c r="H100" s="21" t="s">
        <v>243</v>
      </c>
      <c r="I100" s="23">
        <v>1</v>
      </c>
      <c r="J100" s="24">
        <v>121.58</v>
      </c>
      <c r="K100" s="32">
        <v>17.309999999999999</v>
      </c>
      <c r="L100" s="24">
        <v>27.02</v>
      </c>
      <c r="M100" s="34">
        <v>9</v>
      </c>
      <c r="N100" s="34" t="s">
        <v>826</v>
      </c>
      <c r="O100" s="22" t="str">
        <f>IF(ISNA(VLOOKUP(Table_master_data[[#This Row],[Pick]],Table2[#All],2,FALSE)),"-",VLOOKUP(Table_master_data[[#This Row],[Pick]],Table2[#All],2,FALSE))</f>
        <v>Solid DEF</v>
      </c>
      <c r="P100" s="22" t="s">
        <v>840</v>
      </c>
    </row>
    <row r="101" spans="2:16" x14ac:dyDescent="0.25">
      <c r="B101" s="21">
        <v>207</v>
      </c>
      <c r="C101" s="21" t="s">
        <v>339</v>
      </c>
      <c r="D101" s="21" t="s">
        <v>179</v>
      </c>
      <c r="E101" s="21" t="s">
        <v>508</v>
      </c>
      <c r="F101" s="25">
        <v>0</v>
      </c>
      <c r="G101" s="26">
        <v>5</v>
      </c>
      <c r="H101" s="21" t="s">
        <v>243</v>
      </c>
      <c r="I101" s="23">
        <v>1</v>
      </c>
      <c r="J101" s="24">
        <v>121.34</v>
      </c>
      <c r="K101" s="32">
        <v>15.81</v>
      </c>
      <c r="L101" s="24">
        <v>24.27</v>
      </c>
      <c r="M101" s="34">
        <v>12</v>
      </c>
      <c r="N101" s="34"/>
      <c r="O101" s="22" t="str">
        <f>IF(ISNA(VLOOKUP(Table_master_data[[#This Row],[Pick]],Table2[#All],2,FALSE)),"-",VLOOKUP(Table_master_data[[#This Row],[Pick]],Table2[#All],2,FALSE))</f>
        <v>Rotation MID</v>
      </c>
      <c r="P101" s="22"/>
    </row>
    <row r="102" spans="2:16" x14ac:dyDescent="0.25">
      <c r="B102" s="21">
        <v>502</v>
      </c>
      <c r="C102" s="21" t="s">
        <v>463</v>
      </c>
      <c r="D102" s="21" t="s">
        <v>258</v>
      </c>
      <c r="E102" s="21" t="s">
        <v>374</v>
      </c>
      <c r="F102" s="25">
        <v>150</v>
      </c>
      <c r="G102" s="26">
        <v>5</v>
      </c>
      <c r="H102" s="21" t="s">
        <v>243</v>
      </c>
      <c r="I102" s="23">
        <v>1</v>
      </c>
      <c r="J102" s="24">
        <v>121.33</v>
      </c>
      <c r="K102" s="32">
        <v>16.57</v>
      </c>
      <c r="L102" s="24">
        <v>24.27</v>
      </c>
      <c r="M102" s="34">
        <v>8</v>
      </c>
      <c r="N102" s="34"/>
      <c r="O102" s="22" t="str">
        <f>IF(ISNA(VLOOKUP(Table_master_data[[#This Row],[Pick]],Table2[#All],2,FALSE)),"-",VLOOKUP(Table_master_data[[#This Row],[Pick]],Table2[#All],2,FALSE))</f>
        <v>Priority GK</v>
      </c>
      <c r="P102" s="22" t="s">
        <v>839</v>
      </c>
    </row>
    <row r="103" spans="2:16" x14ac:dyDescent="0.25">
      <c r="B103" s="21">
        <v>242</v>
      </c>
      <c r="C103" s="21" t="s">
        <v>417</v>
      </c>
      <c r="D103" s="21" t="s">
        <v>179</v>
      </c>
      <c r="E103" s="21" t="s">
        <v>185</v>
      </c>
      <c r="F103" s="25">
        <v>18</v>
      </c>
      <c r="G103" s="26">
        <v>5</v>
      </c>
      <c r="H103" s="21" t="s">
        <v>243</v>
      </c>
      <c r="I103" s="23">
        <v>1</v>
      </c>
      <c r="J103" s="24">
        <v>121.27</v>
      </c>
      <c r="K103" s="32">
        <v>15.969999999999999</v>
      </c>
      <c r="L103" s="24">
        <v>24.25</v>
      </c>
      <c r="M103" s="34">
        <v>12</v>
      </c>
      <c r="N103" s="34"/>
      <c r="O103" s="22" t="str">
        <f>IF(ISNA(VLOOKUP(Table_master_data[[#This Row],[Pick]],Table2[#All],2,FALSE)),"-",VLOOKUP(Table_master_data[[#This Row],[Pick]],Table2[#All],2,FALSE))</f>
        <v>Rotation MID</v>
      </c>
      <c r="P103" s="22"/>
    </row>
    <row r="104" spans="2:16" x14ac:dyDescent="0.25">
      <c r="B104" s="21">
        <v>67</v>
      </c>
      <c r="C104" s="21" t="s">
        <v>415</v>
      </c>
      <c r="D104" s="21" t="s">
        <v>258</v>
      </c>
      <c r="E104" s="21" t="s">
        <v>190</v>
      </c>
      <c r="F104" s="25">
        <v>0</v>
      </c>
      <c r="G104" s="26">
        <v>4.5</v>
      </c>
      <c r="H104" s="21" t="s">
        <v>243</v>
      </c>
      <c r="I104" s="23">
        <v>1</v>
      </c>
      <c r="J104" s="24">
        <v>121.15</v>
      </c>
      <c r="K104" s="32">
        <v>15.88</v>
      </c>
      <c r="L104" s="24">
        <v>26.92</v>
      </c>
      <c r="M104" s="34">
        <v>15</v>
      </c>
      <c r="N104" s="34" t="s">
        <v>829</v>
      </c>
      <c r="O104" s="22" t="str">
        <f>IF(ISNA(VLOOKUP(Table_master_data[[#This Row],[Pick]],Table2[#All],2,FALSE)),"-",VLOOKUP(Table_master_data[[#This Row],[Pick]],Table2[#All],2,FALSE))</f>
        <v>Backup GK</v>
      </c>
      <c r="P104" s="22"/>
    </row>
    <row r="105" spans="2:16" x14ac:dyDescent="0.25">
      <c r="B105" s="21">
        <v>469</v>
      </c>
      <c r="C105" s="21" t="s">
        <v>23</v>
      </c>
      <c r="D105" s="21" t="s">
        <v>258</v>
      </c>
      <c r="E105" s="21" t="s">
        <v>186</v>
      </c>
      <c r="F105" s="25">
        <v>102</v>
      </c>
      <c r="G105" s="26">
        <v>5</v>
      </c>
      <c r="H105" s="21" t="s">
        <v>243</v>
      </c>
      <c r="I105" s="23">
        <v>1</v>
      </c>
      <c r="J105" s="24">
        <v>120.73</v>
      </c>
      <c r="K105" s="32">
        <v>16.13</v>
      </c>
      <c r="L105" s="24">
        <v>24.15</v>
      </c>
      <c r="M105" s="34">
        <v>8</v>
      </c>
      <c r="N105" s="34" t="s">
        <v>827</v>
      </c>
      <c r="O105" s="22" t="str">
        <f>IF(ISNA(VLOOKUP(Table_master_data[[#This Row],[Pick]],Table2[#All],2,FALSE)),"-",VLOOKUP(Table_master_data[[#This Row],[Pick]],Table2[#All],2,FALSE))</f>
        <v>Priority GK</v>
      </c>
      <c r="P105" s="22" t="s">
        <v>838</v>
      </c>
    </row>
    <row r="106" spans="2:16" x14ac:dyDescent="0.25">
      <c r="B106" s="21">
        <v>402</v>
      </c>
      <c r="C106" s="21" t="s">
        <v>366</v>
      </c>
      <c r="D106" s="21" t="s">
        <v>181</v>
      </c>
      <c r="E106" s="21" t="s">
        <v>184</v>
      </c>
      <c r="F106" s="25">
        <v>125</v>
      </c>
      <c r="G106" s="26">
        <v>6</v>
      </c>
      <c r="H106" s="21" t="s">
        <v>243</v>
      </c>
      <c r="I106" s="23">
        <v>1</v>
      </c>
      <c r="J106" s="24">
        <v>120.4</v>
      </c>
      <c r="K106" s="32">
        <v>15.589999999999998</v>
      </c>
      <c r="L106" s="24">
        <v>20.07</v>
      </c>
      <c r="M106" s="34">
        <v>9</v>
      </c>
      <c r="N106" s="34"/>
      <c r="O106" s="22" t="str">
        <f>IF(ISNA(VLOOKUP(Table_master_data[[#This Row],[Pick]],Table2[#All],2,FALSE)),"-",VLOOKUP(Table_master_data[[#This Row],[Pick]],Table2[#All],2,FALSE))</f>
        <v>Solid DEF</v>
      </c>
      <c r="P106" s="22" t="s">
        <v>837</v>
      </c>
    </row>
    <row r="107" spans="2:16" x14ac:dyDescent="0.25">
      <c r="B107" s="21">
        <v>135</v>
      </c>
      <c r="C107" s="21" t="s">
        <v>54</v>
      </c>
      <c r="D107" s="21" t="s">
        <v>178</v>
      </c>
      <c r="E107" s="21" t="s">
        <v>183</v>
      </c>
      <c r="F107" s="25">
        <v>185</v>
      </c>
      <c r="G107" s="26">
        <v>7.5</v>
      </c>
      <c r="H107" s="21" t="s">
        <v>243</v>
      </c>
      <c r="I107" s="23">
        <v>1</v>
      </c>
      <c r="J107" s="24">
        <v>120.37</v>
      </c>
      <c r="K107" s="32">
        <v>13.82</v>
      </c>
      <c r="L107" s="24">
        <v>16.05</v>
      </c>
      <c r="M107" s="34">
        <v>2</v>
      </c>
      <c r="N107" s="34"/>
      <c r="O107" s="22" t="str">
        <f>IF(ISNA(VLOOKUP(Table_master_data[[#This Row],[Pick]],Table2[#All],2,FALSE)),"-",VLOOKUP(Table_master_data[[#This Row],[Pick]],Table2[#All],2,FALSE))</f>
        <v>Premium MID/FWD</v>
      </c>
      <c r="P107" s="22" t="s">
        <v>840</v>
      </c>
    </row>
    <row r="108" spans="2:16" x14ac:dyDescent="0.25">
      <c r="B108" s="21">
        <v>673</v>
      </c>
      <c r="C108" s="21" t="s">
        <v>745</v>
      </c>
      <c r="D108" s="21" t="s">
        <v>179</v>
      </c>
      <c r="E108" s="21" t="s">
        <v>192</v>
      </c>
      <c r="F108" s="25">
        <v>0</v>
      </c>
      <c r="G108" s="26">
        <v>5.5</v>
      </c>
      <c r="H108" s="21" t="s">
        <v>243</v>
      </c>
      <c r="I108" s="23">
        <v>1</v>
      </c>
      <c r="J108" s="24">
        <v>120.06</v>
      </c>
      <c r="K108" s="32">
        <v>14.229999999999999</v>
      </c>
      <c r="L108" s="24">
        <v>21.83</v>
      </c>
      <c r="M108" s="34">
        <v>12</v>
      </c>
      <c r="N108" s="34"/>
      <c r="O108" s="22" t="str">
        <f>IF(ISNA(VLOOKUP(Table_master_data[[#This Row],[Pick]],Table2[#All],2,FALSE)),"-",VLOOKUP(Table_master_data[[#This Row],[Pick]],Table2[#All],2,FALSE))</f>
        <v>Rotation MID</v>
      </c>
      <c r="P108" s="22"/>
    </row>
    <row r="109" spans="2:16" x14ac:dyDescent="0.25">
      <c r="B109" s="21">
        <v>669</v>
      </c>
      <c r="C109" s="21" t="s">
        <v>738</v>
      </c>
      <c r="D109" s="21" t="s">
        <v>179</v>
      </c>
      <c r="E109" s="21" t="s">
        <v>374</v>
      </c>
      <c r="F109" s="25">
        <v>0</v>
      </c>
      <c r="G109" s="26">
        <v>6</v>
      </c>
      <c r="H109" s="21" t="s">
        <v>243</v>
      </c>
      <c r="I109" s="23">
        <v>1</v>
      </c>
      <c r="J109" s="24">
        <v>119.38</v>
      </c>
      <c r="K109" s="32">
        <v>16.880000000000003</v>
      </c>
      <c r="L109" s="24">
        <v>19.899999999999999</v>
      </c>
      <c r="M109" s="34">
        <v>12</v>
      </c>
      <c r="N109" s="34"/>
      <c r="O109" s="22" t="str">
        <f>IF(ISNA(VLOOKUP(Table_master_data[[#This Row],[Pick]],Table2[#All],2,FALSE)),"-",VLOOKUP(Table_master_data[[#This Row],[Pick]],Table2[#All],2,FALSE))</f>
        <v>Rotation MID</v>
      </c>
      <c r="P109" s="22" t="s">
        <v>841</v>
      </c>
    </row>
    <row r="110" spans="2:16" x14ac:dyDescent="0.25">
      <c r="B110" s="21">
        <v>316</v>
      </c>
      <c r="C110" s="21" t="s">
        <v>101</v>
      </c>
      <c r="D110" s="21" t="s">
        <v>181</v>
      </c>
      <c r="E110" s="21" t="s">
        <v>189</v>
      </c>
      <c r="F110" s="25">
        <v>106</v>
      </c>
      <c r="G110" s="26">
        <v>5</v>
      </c>
      <c r="H110" s="21" t="s">
        <v>251</v>
      </c>
      <c r="I110" s="23">
        <v>0</v>
      </c>
      <c r="J110" s="24">
        <v>118.99</v>
      </c>
      <c r="K110" s="32">
        <v>12.809999999999999</v>
      </c>
      <c r="L110" s="24">
        <v>23.8</v>
      </c>
      <c r="M110" s="34">
        <v>10</v>
      </c>
      <c r="N110" s="34"/>
      <c r="O110" s="22" t="str">
        <f>IF(ISNA(VLOOKUP(Table_master_data[[#This Row],[Pick]],Table2[#All],2,FALSE)),"-",VLOOKUP(Table_master_data[[#This Row],[Pick]],Table2[#All],2,FALSE))</f>
        <v>Solid DEF</v>
      </c>
      <c r="P110" s="22" t="s">
        <v>840</v>
      </c>
    </row>
    <row r="111" spans="2:16" x14ac:dyDescent="0.25">
      <c r="B111" s="21">
        <v>236</v>
      </c>
      <c r="C111" s="21" t="s">
        <v>15</v>
      </c>
      <c r="D111" s="21" t="s">
        <v>179</v>
      </c>
      <c r="E111" s="21" t="s">
        <v>187</v>
      </c>
      <c r="F111" s="25">
        <v>104</v>
      </c>
      <c r="G111" s="26">
        <v>7</v>
      </c>
      <c r="H111" s="21" t="s">
        <v>243</v>
      </c>
      <c r="I111" s="23">
        <v>1</v>
      </c>
      <c r="J111" s="24">
        <v>118.83</v>
      </c>
      <c r="K111" s="32">
        <v>16.72</v>
      </c>
      <c r="L111" s="24">
        <v>16.98</v>
      </c>
      <c r="M111" s="34">
        <v>12</v>
      </c>
      <c r="N111" s="34"/>
      <c r="O111" s="22" t="str">
        <f>IF(ISNA(VLOOKUP(Table_master_data[[#This Row],[Pick]],Table2[#All],2,FALSE)),"-",VLOOKUP(Table_master_data[[#This Row],[Pick]],Table2[#All],2,FALSE))</f>
        <v>Rotation MID</v>
      </c>
      <c r="P111" s="22"/>
    </row>
    <row r="112" spans="2:16" x14ac:dyDescent="0.25">
      <c r="B112" s="21">
        <v>476</v>
      </c>
      <c r="C112" s="21" t="s">
        <v>119</v>
      </c>
      <c r="D112" s="21" t="s">
        <v>181</v>
      </c>
      <c r="E112" s="21" t="s">
        <v>186</v>
      </c>
      <c r="F112" s="25">
        <v>115</v>
      </c>
      <c r="G112" s="26">
        <v>5</v>
      </c>
      <c r="H112" s="21" t="s">
        <v>243</v>
      </c>
      <c r="I112" s="23">
        <v>1</v>
      </c>
      <c r="J112" s="24">
        <v>118.79</v>
      </c>
      <c r="K112" s="32">
        <v>14.96</v>
      </c>
      <c r="L112" s="24">
        <v>23.76</v>
      </c>
      <c r="M112" s="34">
        <v>10</v>
      </c>
      <c r="N112" s="34"/>
      <c r="O112" s="22" t="str">
        <f>IF(ISNA(VLOOKUP(Table_master_data[[#This Row],[Pick]],Table2[#All],2,FALSE)),"-",VLOOKUP(Table_master_data[[#This Row],[Pick]],Table2[#All],2,FALSE))</f>
        <v>Solid DEF</v>
      </c>
      <c r="P112" s="22" t="s">
        <v>839</v>
      </c>
    </row>
    <row r="113" spans="2:16" x14ac:dyDescent="0.25">
      <c r="B113" s="21">
        <v>371</v>
      </c>
      <c r="C113" s="21" t="s">
        <v>358</v>
      </c>
      <c r="D113" s="21" t="s">
        <v>181</v>
      </c>
      <c r="E113" s="21" t="s">
        <v>180</v>
      </c>
      <c r="F113" s="25">
        <v>134</v>
      </c>
      <c r="G113" s="26">
        <v>6</v>
      </c>
      <c r="H113" s="21" t="s">
        <v>243</v>
      </c>
      <c r="I113" s="23">
        <v>1</v>
      </c>
      <c r="J113" s="24">
        <v>118.63</v>
      </c>
      <c r="K113" s="32">
        <v>15.490000000000002</v>
      </c>
      <c r="L113" s="24">
        <v>19.77</v>
      </c>
      <c r="M113" s="34">
        <v>6</v>
      </c>
      <c r="N113" s="34" t="s">
        <v>827</v>
      </c>
      <c r="O113" s="22" t="str">
        <f>IF(ISNA(VLOOKUP(Table_master_data[[#This Row],[Pick]],Table2[#All],2,FALSE)),"-",VLOOKUP(Table_master_data[[#This Row],[Pick]],Table2[#All],2,FALSE))</f>
        <v>Priority DEF</v>
      </c>
      <c r="P113" s="22" t="s">
        <v>36</v>
      </c>
    </row>
    <row r="114" spans="2:16" x14ac:dyDescent="0.25">
      <c r="B114" s="21">
        <v>224</v>
      </c>
      <c r="C114" s="21" t="s">
        <v>48</v>
      </c>
      <c r="D114" s="21" t="s">
        <v>181</v>
      </c>
      <c r="E114" s="21" t="s">
        <v>187</v>
      </c>
      <c r="F114" s="25">
        <v>133</v>
      </c>
      <c r="G114" s="26">
        <v>6</v>
      </c>
      <c r="H114" s="21" t="s">
        <v>243</v>
      </c>
      <c r="I114" s="23">
        <v>1</v>
      </c>
      <c r="J114" s="24">
        <v>118.32</v>
      </c>
      <c r="K114" s="32">
        <v>15.93</v>
      </c>
      <c r="L114" s="24">
        <v>19.72</v>
      </c>
      <c r="M114" s="34">
        <v>10</v>
      </c>
      <c r="N114" s="34" t="s">
        <v>830</v>
      </c>
      <c r="O114" s="22" t="str">
        <f>IF(ISNA(VLOOKUP(Table_master_data[[#This Row],[Pick]],Table2[#All],2,FALSE)),"-",VLOOKUP(Table_master_data[[#This Row],[Pick]],Table2[#All],2,FALSE))</f>
        <v>Solid DEF</v>
      </c>
      <c r="P114" s="22" t="s">
        <v>841</v>
      </c>
    </row>
    <row r="115" spans="2:16" x14ac:dyDescent="0.25">
      <c r="B115" s="21">
        <v>569</v>
      </c>
      <c r="C115" s="21" t="s">
        <v>33</v>
      </c>
      <c r="D115" s="21" t="s">
        <v>181</v>
      </c>
      <c r="E115" s="21" t="s">
        <v>192</v>
      </c>
      <c r="F115" s="25">
        <v>49</v>
      </c>
      <c r="G115" s="26">
        <v>5</v>
      </c>
      <c r="H115" s="21" t="s">
        <v>243</v>
      </c>
      <c r="I115" s="23">
        <v>1</v>
      </c>
      <c r="J115" s="24">
        <v>117.88</v>
      </c>
      <c r="K115" s="32">
        <v>15.59</v>
      </c>
      <c r="L115" s="24">
        <v>23.58</v>
      </c>
      <c r="M115" s="34">
        <v>11</v>
      </c>
      <c r="N115" s="34"/>
      <c r="O115" s="22" t="str">
        <f>IF(ISNA(VLOOKUP(Table_master_data[[#This Row],[Pick]],Table2[#All],2,FALSE)),"-",VLOOKUP(Table_master_data[[#This Row],[Pick]],Table2[#All],2,FALSE))</f>
        <v>Solid DEF</v>
      </c>
      <c r="P115" s="22" t="s">
        <v>841</v>
      </c>
    </row>
    <row r="116" spans="2:16" x14ac:dyDescent="0.25">
      <c r="B116" s="21">
        <v>205</v>
      </c>
      <c r="C116" s="21" t="s">
        <v>540</v>
      </c>
      <c r="D116" s="21" t="s">
        <v>179</v>
      </c>
      <c r="E116" s="21" t="s">
        <v>508</v>
      </c>
      <c r="F116" s="25">
        <v>0</v>
      </c>
      <c r="G116" s="26">
        <v>5</v>
      </c>
      <c r="H116" s="21" t="s">
        <v>243</v>
      </c>
      <c r="I116" s="23">
        <v>1</v>
      </c>
      <c r="J116" s="24">
        <v>117.16</v>
      </c>
      <c r="K116" s="32">
        <v>15.32</v>
      </c>
      <c r="L116" s="24">
        <v>23.43</v>
      </c>
      <c r="M116" s="34">
        <v>12</v>
      </c>
      <c r="N116" s="34"/>
      <c r="O116" s="22" t="str">
        <f>IF(ISNA(VLOOKUP(Table_master_data[[#This Row],[Pick]],Table2[#All],2,FALSE)),"-",VLOOKUP(Table_master_data[[#This Row],[Pick]],Table2[#All],2,FALSE))</f>
        <v>Rotation MID</v>
      </c>
      <c r="P116" s="22"/>
    </row>
    <row r="117" spans="2:16" x14ac:dyDescent="0.25">
      <c r="B117" s="21">
        <v>643</v>
      </c>
      <c r="C117" s="21" t="s">
        <v>812</v>
      </c>
      <c r="D117" s="21" t="s">
        <v>179</v>
      </c>
      <c r="E117" s="21" t="s">
        <v>182</v>
      </c>
      <c r="F117" s="25">
        <v>61</v>
      </c>
      <c r="G117" s="26">
        <v>5.5</v>
      </c>
      <c r="H117" s="21" t="s">
        <v>243</v>
      </c>
      <c r="I117" s="23">
        <v>1</v>
      </c>
      <c r="J117" s="24">
        <v>117.11</v>
      </c>
      <c r="K117" s="32">
        <v>15.870000000000001</v>
      </c>
      <c r="L117" s="24">
        <v>21.29</v>
      </c>
      <c r="M117" s="34">
        <v>12</v>
      </c>
      <c r="N117" s="34"/>
      <c r="O117" s="22" t="str">
        <f>IF(ISNA(VLOOKUP(Table_master_data[[#This Row],[Pick]],Table2[#All],2,FALSE)),"-",VLOOKUP(Table_master_data[[#This Row],[Pick]],Table2[#All],2,FALSE))</f>
        <v>Rotation MID</v>
      </c>
      <c r="P117" s="22"/>
    </row>
    <row r="118" spans="2:16" x14ac:dyDescent="0.25">
      <c r="B118" s="21">
        <v>628</v>
      </c>
      <c r="C118" s="21" t="s">
        <v>808</v>
      </c>
      <c r="D118" s="21" t="s">
        <v>258</v>
      </c>
      <c r="E118" s="21" t="s">
        <v>182</v>
      </c>
      <c r="F118" s="25">
        <v>93</v>
      </c>
      <c r="G118" s="26">
        <v>4.5</v>
      </c>
      <c r="H118" s="21" t="s">
        <v>243</v>
      </c>
      <c r="I118" s="23">
        <v>1</v>
      </c>
      <c r="J118" s="24">
        <v>117</v>
      </c>
      <c r="K118" s="32">
        <v>16.060000000000002</v>
      </c>
      <c r="L118" s="24">
        <v>26</v>
      </c>
      <c r="M118" s="34">
        <v>8</v>
      </c>
      <c r="N118" s="34"/>
      <c r="O118" s="22" t="str">
        <f>IF(ISNA(VLOOKUP(Table_master_data[[#This Row],[Pick]],Table2[#All],2,FALSE)),"-",VLOOKUP(Table_master_data[[#This Row],[Pick]],Table2[#All],2,FALSE))</f>
        <v>Priority GK</v>
      </c>
      <c r="P118" s="22" t="s">
        <v>4</v>
      </c>
    </row>
    <row r="119" spans="2:16" x14ac:dyDescent="0.25">
      <c r="B119" s="21">
        <v>32</v>
      </c>
      <c r="C119" s="21" t="s">
        <v>22</v>
      </c>
      <c r="D119" s="21" t="s">
        <v>258</v>
      </c>
      <c r="E119" s="21" t="s">
        <v>191</v>
      </c>
      <c r="F119" s="25">
        <v>111</v>
      </c>
      <c r="G119" s="26">
        <v>5</v>
      </c>
      <c r="H119" s="21" t="s">
        <v>252</v>
      </c>
      <c r="I119" s="23">
        <v>0</v>
      </c>
      <c r="J119" s="24">
        <v>115.89</v>
      </c>
      <c r="K119" s="32">
        <v>13.100000000000001</v>
      </c>
      <c r="L119" s="24">
        <v>23.18</v>
      </c>
      <c r="M119" s="34">
        <v>15</v>
      </c>
      <c r="N119" s="34" t="s">
        <v>829</v>
      </c>
      <c r="O119" s="22" t="str">
        <f>IF(ISNA(VLOOKUP(Table_master_data[[#This Row],[Pick]],Table2[#All],2,FALSE)),"-",VLOOKUP(Table_master_data[[#This Row],[Pick]],Table2[#All],2,FALSE))</f>
        <v>Backup GK</v>
      </c>
      <c r="P119" s="22" t="s">
        <v>837</v>
      </c>
    </row>
    <row r="120" spans="2:16" x14ac:dyDescent="0.25">
      <c r="B120" s="21">
        <v>414</v>
      </c>
      <c r="C120" s="21" t="s">
        <v>3</v>
      </c>
      <c r="D120" s="21" t="s">
        <v>179</v>
      </c>
      <c r="E120" s="21" t="s">
        <v>184</v>
      </c>
      <c r="F120" s="25">
        <v>105</v>
      </c>
      <c r="G120" s="26">
        <v>8</v>
      </c>
      <c r="H120" s="21" t="s">
        <v>250</v>
      </c>
      <c r="I120" s="23">
        <v>0.75</v>
      </c>
      <c r="J120" s="24">
        <v>115.53</v>
      </c>
      <c r="K120" s="32">
        <v>12.41</v>
      </c>
      <c r="L120" s="24">
        <v>14.44</v>
      </c>
      <c r="M120" s="34">
        <v>12</v>
      </c>
      <c r="N120" s="34"/>
      <c r="O120" s="22" t="str">
        <f>IF(ISNA(VLOOKUP(Table_master_data[[#This Row],[Pick]],Table2[#All],2,FALSE)),"-",VLOOKUP(Table_master_data[[#This Row],[Pick]],Table2[#All],2,FALSE))</f>
        <v>Rotation MID</v>
      </c>
      <c r="P120" s="22" t="s">
        <v>4</v>
      </c>
    </row>
    <row r="121" spans="2:16" x14ac:dyDescent="0.25">
      <c r="B121" s="21">
        <v>317</v>
      </c>
      <c r="C121" s="21" t="s">
        <v>76</v>
      </c>
      <c r="D121" s="21" t="s">
        <v>181</v>
      </c>
      <c r="E121" s="21" t="s">
        <v>189</v>
      </c>
      <c r="F121" s="25">
        <v>51</v>
      </c>
      <c r="G121" s="26">
        <v>4.5</v>
      </c>
      <c r="H121" s="21" t="s">
        <v>243</v>
      </c>
      <c r="I121" s="23">
        <v>1</v>
      </c>
      <c r="J121" s="24">
        <v>115.02</v>
      </c>
      <c r="K121" s="32">
        <v>15.850000000000001</v>
      </c>
      <c r="L121" s="24">
        <v>25.56</v>
      </c>
      <c r="M121" s="34">
        <v>11</v>
      </c>
      <c r="N121" s="34"/>
      <c r="O121" s="22" t="str">
        <f>IF(ISNA(VLOOKUP(Table_master_data[[#This Row],[Pick]],Table2[#All],2,FALSE)),"-",VLOOKUP(Table_master_data[[#This Row],[Pick]],Table2[#All],2,FALSE))</f>
        <v>Solid DEF</v>
      </c>
      <c r="P121" s="22" t="s">
        <v>840</v>
      </c>
    </row>
    <row r="122" spans="2:16" x14ac:dyDescent="0.25">
      <c r="B122" s="21">
        <v>631</v>
      </c>
      <c r="C122" s="21" t="s">
        <v>794</v>
      </c>
      <c r="D122" s="21" t="s">
        <v>181</v>
      </c>
      <c r="E122" s="21" t="s">
        <v>182</v>
      </c>
      <c r="F122" s="25">
        <v>45</v>
      </c>
      <c r="G122" s="26">
        <v>4.5</v>
      </c>
      <c r="H122" s="21" t="s">
        <v>243</v>
      </c>
      <c r="I122" s="23">
        <v>1</v>
      </c>
      <c r="J122" s="24">
        <v>114.78</v>
      </c>
      <c r="K122" s="32">
        <v>15.28</v>
      </c>
      <c r="L122" s="24">
        <v>25.51</v>
      </c>
      <c r="M122" s="34">
        <v>11</v>
      </c>
      <c r="N122" s="34"/>
      <c r="O122" s="22" t="str">
        <f>IF(ISNA(VLOOKUP(Table_master_data[[#This Row],[Pick]],Table2[#All],2,FALSE)),"-",VLOOKUP(Table_master_data[[#This Row],[Pick]],Table2[#All],2,FALSE))</f>
        <v>Solid DEF</v>
      </c>
      <c r="P122" s="22" t="s">
        <v>842</v>
      </c>
    </row>
    <row r="123" spans="2:16" x14ac:dyDescent="0.25">
      <c r="B123" s="21">
        <v>328</v>
      </c>
      <c r="C123" s="21" t="s">
        <v>365</v>
      </c>
      <c r="D123" s="21" t="s">
        <v>179</v>
      </c>
      <c r="E123" s="21" t="s">
        <v>189</v>
      </c>
      <c r="F123" s="25">
        <v>57</v>
      </c>
      <c r="G123" s="26">
        <v>5.5</v>
      </c>
      <c r="H123" s="21" t="s">
        <v>250</v>
      </c>
      <c r="I123" s="23">
        <v>0.75</v>
      </c>
      <c r="J123" s="24">
        <v>114.55</v>
      </c>
      <c r="K123" s="32">
        <v>13.759999999999998</v>
      </c>
      <c r="L123" s="24">
        <v>20.83</v>
      </c>
      <c r="M123" s="34"/>
      <c r="N123" s="34"/>
      <c r="O123" s="22" t="str">
        <f>IF(ISNA(VLOOKUP(Table_master_data[[#This Row],[Pick]],Table2[#All],2,FALSE)),"-",VLOOKUP(Table_master_data[[#This Row],[Pick]],Table2[#All],2,FALSE))</f>
        <v>-</v>
      </c>
      <c r="P123" s="22"/>
    </row>
    <row r="124" spans="2:16" x14ac:dyDescent="0.25">
      <c r="B124" s="21">
        <v>260</v>
      </c>
      <c r="C124" s="21" t="s">
        <v>604</v>
      </c>
      <c r="D124" s="21" t="s">
        <v>181</v>
      </c>
      <c r="E124" s="21" t="s">
        <v>188</v>
      </c>
      <c r="F124" s="25">
        <v>116</v>
      </c>
      <c r="G124" s="26">
        <v>4.5</v>
      </c>
      <c r="H124" s="21" t="s">
        <v>243</v>
      </c>
      <c r="I124" s="23">
        <v>1</v>
      </c>
      <c r="J124" s="24">
        <v>114.2</v>
      </c>
      <c r="K124" s="32">
        <v>15.649999999999999</v>
      </c>
      <c r="L124" s="24">
        <v>25.38</v>
      </c>
      <c r="M124" s="34">
        <v>9</v>
      </c>
      <c r="N124" s="34" t="s">
        <v>827</v>
      </c>
      <c r="O124" s="22" t="str">
        <f>IF(ISNA(VLOOKUP(Table_master_data[[#This Row],[Pick]],Table2[#All],2,FALSE)),"-",VLOOKUP(Table_master_data[[#This Row],[Pick]],Table2[#All],2,FALSE))</f>
        <v>Solid DEF</v>
      </c>
      <c r="P124" s="22" t="s">
        <v>841</v>
      </c>
    </row>
    <row r="125" spans="2:16" x14ac:dyDescent="0.25">
      <c r="B125" s="21">
        <v>583</v>
      </c>
      <c r="C125" s="21" t="s">
        <v>6</v>
      </c>
      <c r="D125" s="21" t="s">
        <v>179</v>
      </c>
      <c r="E125" s="21" t="s">
        <v>192</v>
      </c>
      <c r="F125" s="25">
        <v>117</v>
      </c>
      <c r="G125" s="26">
        <v>6.5</v>
      </c>
      <c r="H125" s="21" t="s">
        <v>251</v>
      </c>
      <c r="I125" s="23">
        <v>0</v>
      </c>
      <c r="J125" s="24">
        <v>113.98</v>
      </c>
      <c r="K125" s="32">
        <v>1.4500000000000002</v>
      </c>
      <c r="L125" s="24">
        <v>17.53</v>
      </c>
      <c r="M125" s="34"/>
      <c r="N125" s="34"/>
      <c r="O125" s="22" t="str">
        <f>IF(ISNA(VLOOKUP(Table_master_data[[#This Row],[Pick]],Table2[#All],2,FALSE)),"-",VLOOKUP(Table_master_data[[#This Row],[Pick]],Table2[#All],2,FALSE))</f>
        <v>-</v>
      </c>
      <c r="P125" s="22"/>
    </row>
    <row r="126" spans="2:16" x14ac:dyDescent="0.25">
      <c r="B126" s="21">
        <v>668</v>
      </c>
      <c r="C126" s="21" t="s">
        <v>785</v>
      </c>
      <c r="D126" s="21" t="s">
        <v>179</v>
      </c>
      <c r="E126" s="21" t="s">
        <v>802</v>
      </c>
      <c r="F126" s="25">
        <v>0</v>
      </c>
      <c r="G126" s="26">
        <v>5</v>
      </c>
      <c r="H126" s="21" t="s">
        <v>243</v>
      </c>
      <c r="I126" s="23">
        <v>1</v>
      </c>
      <c r="J126" s="24">
        <v>113.57</v>
      </c>
      <c r="K126" s="32">
        <v>16.060000000000002</v>
      </c>
      <c r="L126" s="24">
        <v>22.71</v>
      </c>
      <c r="M126" s="34"/>
      <c r="N126" s="34"/>
      <c r="O126" s="22" t="str">
        <f>IF(ISNA(VLOOKUP(Table_master_data[[#This Row],[Pick]],Table2[#All],2,FALSE)),"-",VLOOKUP(Table_master_data[[#This Row],[Pick]],Table2[#All],2,FALSE))</f>
        <v>-</v>
      </c>
      <c r="P126" s="22"/>
    </row>
    <row r="127" spans="2:16" x14ac:dyDescent="0.25">
      <c r="B127" s="21">
        <v>173</v>
      </c>
      <c r="C127" s="21" t="s">
        <v>413</v>
      </c>
      <c r="D127" s="21" t="s">
        <v>179</v>
      </c>
      <c r="E127" s="21" t="s">
        <v>373</v>
      </c>
      <c r="F127" s="25">
        <v>52</v>
      </c>
      <c r="G127" s="26">
        <v>5</v>
      </c>
      <c r="H127" s="21" t="s">
        <v>243</v>
      </c>
      <c r="I127" s="23">
        <v>1</v>
      </c>
      <c r="J127" s="24">
        <v>113.37</v>
      </c>
      <c r="K127" s="32">
        <v>16.73</v>
      </c>
      <c r="L127" s="24">
        <v>22.67</v>
      </c>
      <c r="M127" s="34"/>
      <c r="N127" s="34"/>
      <c r="O127" s="22" t="str">
        <f>IF(ISNA(VLOOKUP(Table_master_data[[#This Row],[Pick]],Table2[#All],2,FALSE)),"-",VLOOKUP(Table_master_data[[#This Row],[Pick]],Table2[#All],2,FALSE))</f>
        <v>-</v>
      </c>
      <c r="P127" s="22"/>
    </row>
    <row r="128" spans="2:16" x14ac:dyDescent="0.25">
      <c r="B128" s="21">
        <v>473</v>
      </c>
      <c r="C128" s="21" t="s">
        <v>320</v>
      </c>
      <c r="D128" s="21" t="s">
        <v>181</v>
      </c>
      <c r="E128" s="21" t="s">
        <v>186</v>
      </c>
      <c r="F128" s="25">
        <v>102</v>
      </c>
      <c r="G128" s="26">
        <v>5.5</v>
      </c>
      <c r="H128" s="21" t="s">
        <v>243</v>
      </c>
      <c r="I128" s="23">
        <v>1</v>
      </c>
      <c r="J128" s="24">
        <v>113.22</v>
      </c>
      <c r="K128" s="32">
        <v>12.459999999999999</v>
      </c>
      <c r="L128" s="24">
        <v>20.59</v>
      </c>
      <c r="M128" s="34">
        <v>11</v>
      </c>
      <c r="N128" s="34" t="s">
        <v>826</v>
      </c>
      <c r="O128" s="22" t="str">
        <f>IF(ISNA(VLOOKUP(Table_master_data[[#This Row],[Pick]],Table2[#All],2,FALSE)),"-",VLOOKUP(Table_master_data[[#This Row],[Pick]],Table2[#All],2,FALSE))</f>
        <v>Solid DEF</v>
      </c>
      <c r="P128" s="22" t="s">
        <v>837</v>
      </c>
    </row>
    <row r="129" spans="2:16" x14ac:dyDescent="0.25">
      <c r="B129" s="21">
        <v>408</v>
      </c>
      <c r="C129" s="21" t="s">
        <v>821</v>
      </c>
      <c r="D129" s="21" t="s">
        <v>181</v>
      </c>
      <c r="E129" s="21" t="s">
        <v>184</v>
      </c>
      <c r="F129" s="25">
        <v>90</v>
      </c>
      <c r="G129" s="26">
        <v>5.5</v>
      </c>
      <c r="H129" s="21" t="s">
        <v>243</v>
      </c>
      <c r="I129" s="23">
        <v>1</v>
      </c>
      <c r="J129" s="24">
        <v>112.93</v>
      </c>
      <c r="K129" s="32">
        <v>14.11</v>
      </c>
      <c r="L129" s="24">
        <v>20.53</v>
      </c>
      <c r="M129" s="34">
        <v>11</v>
      </c>
      <c r="N129" s="34" t="s">
        <v>829</v>
      </c>
      <c r="O129" s="22" t="str">
        <f>IF(ISNA(VLOOKUP(Table_master_data[[#This Row],[Pick]],Table2[#All],2,FALSE)),"-",VLOOKUP(Table_master_data[[#This Row],[Pick]],Table2[#All],2,FALSE))</f>
        <v>Solid DEF</v>
      </c>
      <c r="P129" s="22" t="s">
        <v>839</v>
      </c>
    </row>
    <row r="130" spans="2:16" x14ac:dyDescent="0.25">
      <c r="B130" s="21">
        <v>123</v>
      </c>
      <c r="C130" s="21" t="s">
        <v>440</v>
      </c>
      <c r="D130" s="21" t="s">
        <v>179</v>
      </c>
      <c r="E130" s="21" t="s">
        <v>183</v>
      </c>
      <c r="F130" s="25">
        <v>35</v>
      </c>
      <c r="G130" s="26">
        <v>5</v>
      </c>
      <c r="H130" s="21" t="s">
        <v>243</v>
      </c>
      <c r="I130" s="23">
        <v>1</v>
      </c>
      <c r="J130" s="24">
        <v>112.63</v>
      </c>
      <c r="K130" s="32">
        <v>16.97</v>
      </c>
      <c r="L130" s="24">
        <v>22.53</v>
      </c>
      <c r="M130" s="34"/>
      <c r="N130" s="34"/>
      <c r="O130" s="22" t="str">
        <f>IF(ISNA(VLOOKUP(Table_master_data[[#This Row],[Pick]],Table2[#All],2,FALSE)),"-",VLOOKUP(Table_master_data[[#This Row],[Pick]],Table2[#All],2,FALSE))</f>
        <v>-</v>
      </c>
      <c r="P130" s="22"/>
    </row>
    <row r="131" spans="2:16" x14ac:dyDescent="0.25">
      <c r="B131" s="21">
        <v>663</v>
      </c>
      <c r="C131" s="21" t="s">
        <v>800</v>
      </c>
      <c r="D131" s="21" t="s">
        <v>179</v>
      </c>
      <c r="E131" s="21" t="s">
        <v>182</v>
      </c>
      <c r="F131" s="25">
        <v>0</v>
      </c>
      <c r="G131" s="26">
        <v>5.5</v>
      </c>
      <c r="H131" s="21" t="s">
        <v>243</v>
      </c>
      <c r="I131" s="23">
        <v>1</v>
      </c>
      <c r="J131" s="24">
        <v>112.36</v>
      </c>
      <c r="K131" s="32">
        <v>14.700000000000001</v>
      </c>
      <c r="L131" s="24">
        <v>20.43</v>
      </c>
      <c r="M131" s="34"/>
      <c r="N131" s="34"/>
      <c r="O131" s="22" t="str">
        <f>IF(ISNA(VLOOKUP(Table_master_data[[#This Row],[Pick]],Table2[#All],2,FALSE)),"-",VLOOKUP(Table_master_data[[#This Row],[Pick]],Table2[#All],2,FALSE))</f>
        <v>-</v>
      </c>
      <c r="P131" s="22"/>
    </row>
    <row r="132" spans="2:16" x14ac:dyDescent="0.25">
      <c r="B132" s="21">
        <v>432</v>
      </c>
      <c r="C132" s="21" t="s">
        <v>330</v>
      </c>
      <c r="D132" s="21" t="s">
        <v>258</v>
      </c>
      <c r="E132" s="21" t="s">
        <v>193</v>
      </c>
      <c r="F132" s="25">
        <v>120</v>
      </c>
      <c r="G132" s="26">
        <v>5</v>
      </c>
      <c r="H132" s="21" t="s">
        <v>250</v>
      </c>
      <c r="I132" s="23">
        <v>0.5</v>
      </c>
      <c r="J132" s="24">
        <v>111.94</v>
      </c>
      <c r="K132" s="32">
        <v>12.74</v>
      </c>
      <c r="L132" s="24">
        <v>22.39</v>
      </c>
      <c r="M132" s="34"/>
      <c r="N132" s="34"/>
      <c r="O132" s="22" t="str">
        <f>IF(ISNA(VLOOKUP(Table_master_data[[#This Row],[Pick]],Table2[#All],2,FALSE)),"-",VLOOKUP(Table_master_data[[#This Row],[Pick]],Table2[#All],2,FALSE))</f>
        <v>-</v>
      </c>
      <c r="P132" s="22" t="s">
        <v>841</v>
      </c>
    </row>
    <row r="133" spans="2:16" x14ac:dyDescent="0.25">
      <c r="B133" s="21">
        <v>637</v>
      </c>
      <c r="C133" s="21" t="s">
        <v>102</v>
      </c>
      <c r="D133" s="21" t="s">
        <v>181</v>
      </c>
      <c r="E133" s="21" t="s">
        <v>182</v>
      </c>
      <c r="F133" s="25">
        <v>79</v>
      </c>
      <c r="G133" s="26">
        <v>4.5</v>
      </c>
      <c r="H133" s="21" t="s">
        <v>243</v>
      </c>
      <c r="I133" s="23">
        <v>1</v>
      </c>
      <c r="J133" s="24">
        <v>111.84</v>
      </c>
      <c r="K133" s="32">
        <v>14.86</v>
      </c>
      <c r="L133" s="24">
        <v>24.85</v>
      </c>
      <c r="M133" s="34">
        <v>11</v>
      </c>
      <c r="N133" s="34"/>
      <c r="O133" s="22" t="str">
        <f>IF(ISNA(VLOOKUP(Table_master_data[[#This Row],[Pick]],Table2[#All],2,FALSE)),"-",VLOOKUP(Table_master_data[[#This Row],[Pick]],Table2[#All],2,FALSE))</f>
        <v>Solid DEF</v>
      </c>
      <c r="P133" s="22"/>
    </row>
    <row r="134" spans="2:16" x14ac:dyDescent="0.25">
      <c r="B134" s="21">
        <v>261</v>
      </c>
      <c r="C134" s="21" t="s">
        <v>593</v>
      </c>
      <c r="D134" s="21" t="s">
        <v>181</v>
      </c>
      <c r="E134" s="21" t="s">
        <v>188</v>
      </c>
      <c r="F134" s="25">
        <v>68</v>
      </c>
      <c r="G134" s="26">
        <v>4.5</v>
      </c>
      <c r="H134" s="21" t="s">
        <v>243</v>
      </c>
      <c r="I134" s="23">
        <v>1</v>
      </c>
      <c r="J134" s="24">
        <v>111.62</v>
      </c>
      <c r="K134" s="32">
        <v>15.309999999999999</v>
      </c>
      <c r="L134" s="24">
        <v>24.8</v>
      </c>
      <c r="M134" s="34">
        <v>11</v>
      </c>
      <c r="N134" s="34"/>
      <c r="O134" s="22" t="str">
        <f>IF(ISNA(VLOOKUP(Table_master_data[[#This Row],[Pick]],Table2[#All],2,FALSE)),"-",VLOOKUP(Table_master_data[[#This Row],[Pick]],Table2[#All],2,FALSE))</f>
        <v>Solid DEF</v>
      </c>
      <c r="P134" s="22"/>
    </row>
    <row r="135" spans="2:16" x14ac:dyDescent="0.25">
      <c r="B135" s="21">
        <v>81</v>
      </c>
      <c r="C135" s="21" t="s">
        <v>306</v>
      </c>
      <c r="D135" s="21" t="s">
        <v>179</v>
      </c>
      <c r="E135" s="21" t="s">
        <v>190</v>
      </c>
      <c r="F135" s="25">
        <v>158</v>
      </c>
      <c r="G135" s="26">
        <v>7</v>
      </c>
      <c r="H135" s="21" t="s">
        <v>250</v>
      </c>
      <c r="I135" s="23">
        <v>0.5</v>
      </c>
      <c r="J135" s="24">
        <v>111.54</v>
      </c>
      <c r="K135" s="32">
        <v>11.540000000000003</v>
      </c>
      <c r="L135" s="24">
        <v>15.93</v>
      </c>
      <c r="M135" s="34">
        <v>5</v>
      </c>
      <c r="N135" s="34" t="s">
        <v>827</v>
      </c>
      <c r="O135" s="22" t="str">
        <f>IF(ISNA(VLOOKUP(Table_master_data[[#This Row],[Pick]],Table2[#All],2,FALSE)),"-",VLOOKUP(Table_master_data[[#This Row],[Pick]],Table2[#All],2,FALSE))</f>
        <v>Solid MID/Premium DEF</v>
      </c>
      <c r="P135" s="22" t="s">
        <v>838</v>
      </c>
    </row>
    <row r="136" spans="2:16" x14ac:dyDescent="0.25">
      <c r="B136" s="21">
        <v>167</v>
      </c>
      <c r="C136" s="21" t="s">
        <v>409</v>
      </c>
      <c r="D136" s="21" t="s">
        <v>179</v>
      </c>
      <c r="E136" s="21" t="s">
        <v>373</v>
      </c>
      <c r="F136" s="25">
        <v>87</v>
      </c>
      <c r="G136" s="26">
        <v>5</v>
      </c>
      <c r="H136" s="21" t="s">
        <v>243</v>
      </c>
      <c r="I136" s="23">
        <v>1</v>
      </c>
      <c r="J136" s="24">
        <v>111.46</v>
      </c>
      <c r="K136" s="32">
        <v>13</v>
      </c>
      <c r="L136" s="24">
        <v>22.29</v>
      </c>
      <c r="M136" s="34"/>
      <c r="N136" s="34"/>
      <c r="O136" s="22" t="str">
        <f>IF(ISNA(VLOOKUP(Table_master_data[[#This Row],[Pick]],Table2[#All],2,FALSE)),"-",VLOOKUP(Table_master_data[[#This Row],[Pick]],Table2[#All],2,FALSE))</f>
        <v>-</v>
      </c>
      <c r="P136" s="22"/>
    </row>
    <row r="137" spans="2:16" x14ac:dyDescent="0.25">
      <c r="B137" s="21">
        <v>516</v>
      </c>
      <c r="C137" s="21" t="s">
        <v>129</v>
      </c>
      <c r="D137" s="21" t="s">
        <v>179</v>
      </c>
      <c r="E137" s="21" t="s">
        <v>374</v>
      </c>
      <c r="F137" s="25">
        <v>103</v>
      </c>
      <c r="G137" s="26">
        <v>6</v>
      </c>
      <c r="H137" s="21" t="s">
        <v>243</v>
      </c>
      <c r="I137" s="23">
        <v>1</v>
      </c>
      <c r="J137" s="24">
        <v>111.43</v>
      </c>
      <c r="K137" s="32">
        <v>16.11</v>
      </c>
      <c r="L137" s="24">
        <v>18.57</v>
      </c>
      <c r="M137" s="34"/>
      <c r="N137" s="34"/>
      <c r="O137" s="22" t="str">
        <f>IF(ISNA(VLOOKUP(Table_master_data[[#This Row],[Pick]],Table2[#All],2,FALSE)),"-",VLOOKUP(Table_master_data[[#This Row],[Pick]],Table2[#All],2,FALSE))</f>
        <v>-</v>
      </c>
      <c r="P137" s="22"/>
    </row>
    <row r="138" spans="2:16" x14ac:dyDescent="0.25">
      <c r="B138" s="21">
        <v>26</v>
      </c>
      <c r="C138" s="21" t="s">
        <v>588</v>
      </c>
      <c r="D138" s="21" t="s">
        <v>179</v>
      </c>
      <c r="E138" s="21" t="s">
        <v>194</v>
      </c>
      <c r="F138" s="25">
        <v>0</v>
      </c>
      <c r="G138" s="26">
        <v>5.5</v>
      </c>
      <c r="H138" s="21" t="s">
        <v>243</v>
      </c>
      <c r="I138" s="23">
        <v>1</v>
      </c>
      <c r="J138" s="24">
        <v>111.3</v>
      </c>
      <c r="K138" s="32">
        <v>14.8</v>
      </c>
      <c r="L138" s="24">
        <v>20.239999999999998</v>
      </c>
      <c r="M138" s="34"/>
      <c r="N138" s="34"/>
      <c r="O138" s="22" t="str">
        <f>IF(ISNA(VLOOKUP(Table_master_data[[#This Row],[Pick]],Table2[#All],2,FALSE)),"-",VLOOKUP(Table_master_data[[#This Row],[Pick]],Table2[#All],2,FALSE))</f>
        <v>-</v>
      </c>
      <c r="P138" s="22"/>
    </row>
    <row r="139" spans="2:16" x14ac:dyDescent="0.25">
      <c r="B139" s="21">
        <v>374</v>
      </c>
      <c r="C139" s="21" t="s">
        <v>818</v>
      </c>
      <c r="D139" s="21" t="s">
        <v>181</v>
      </c>
      <c r="E139" s="21" t="s">
        <v>180</v>
      </c>
      <c r="F139" s="25">
        <v>106</v>
      </c>
      <c r="G139" s="26">
        <v>5.5</v>
      </c>
      <c r="H139" s="21" t="s">
        <v>243</v>
      </c>
      <c r="I139" s="23">
        <v>1</v>
      </c>
      <c r="J139" s="24">
        <v>111</v>
      </c>
      <c r="K139" s="32">
        <v>15.8</v>
      </c>
      <c r="L139" s="24">
        <v>20.18</v>
      </c>
      <c r="M139" s="34">
        <v>11</v>
      </c>
      <c r="N139" s="34" t="s">
        <v>826</v>
      </c>
      <c r="O139" s="22" t="str">
        <f>IF(ISNA(VLOOKUP(Table_master_data[[#This Row],[Pick]],Table2[#All],2,FALSE)),"-",VLOOKUP(Table_master_data[[#This Row],[Pick]],Table2[#All],2,FALSE))</f>
        <v>Solid DEF</v>
      </c>
      <c r="P139" s="22" t="s">
        <v>839</v>
      </c>
    </row>
    <row r="140" spans="2:16" x14ac:dyDescent="0.25">
      <c r="B140" s="21">
        <v>390</v>
      </c>
      <c r="C140" s="21" t="s">
        <v>443</v>
      </c>
      <c r="D140" s="21" t="s">
        <v>179</v>
      </c>
      <c r="E140" s="21" t="s">
        <v>180</v>
      </c>
      <c r="F140" s="25">
        <v>92</v>
      </c>
      <c r="G140" s="26">
        <v>5.5</v>
      </c>
      <c r="H140" s="21" t="s">
        <v>252</v>
      </c>
      <c r="I140" s="23">
        <v>0</v>
      </c>
      <c r="J140" s="24">
        <v>110.48</v>
      </c>
      <c r="K140" s="32">
        <v>11.559999999999999</v>
      </c>
      <c r="L140" s="24">
        <v>20.09</v>
      </c>
      <c r="M140" s="34"/>
      <c r="N140" s="34"/>
      <c r="O140" s="22" t="str">
        <f>IF(ISNA(VLOOKUP(Table_master_data[[#This Row],[Pick]],Table2[#All],2,FALSE)),"-",VLOOKUP(Table_master_data[[#This Row],[Pick]],Table2[#All],2,FALSE))</f>
        <v>-</v>
      </c>
      <c r="P140" s="22"/>
    </row>
    <row r="141" spans="2:16" x14ac:dyDescent="0.25">
      <c r="B141" s="21">
        <v>38</v>
      </c>
      <c r="C141" s="21" t="s">
        <v>152</v>
      </c>
      <c r="D141" s="21" t="s">
        <v>181</v>
      </c>
      <c r="E141" s="21" t="s">
        <v>191</v>
      </c>
      <c r="F141" s="25">
        <v>103</v>
      </c>
      <c r="G141" s="26">
        <v>4.5</v>
      </c>
      <c r="H141" s="21" t="s">
        <v>243</v>
      </c>
      <c r="I141" s="23">
        <v>1</v>
      </c>
      <c r="J141" s="24">
        <v>109.79</v>
      </c>
      <c r="K141" s="32">
        <v>15.879999999999999</v>
      </c>
      <c r="L141" s="24">
        <v>24.4</v>
      </c>
      <c r="M141" s="34">
        <v>9</v>
      </c>
      <c r="N141" s="34" t="s">
        <v>829</v>
      </c>
      <c r="O141" s="22" t="str">
        <f>IF(ISNA(VLOOKUP(Table_master_data[[#This Row],[Pick]],Table2[#All],2,FALSE)),"-",VLOOKUP(Table_master_data[[#This Row],[Pick]],Table2[#All],2,FALSE))</f>
        <v>Solid DEF</v>
      </c>
      <c r="P141" s="22" t="s">
        <v>837</v>
      </c>
    </row>
    <row r="142" spans="2:16" x14ac:dyDescent="0.25">
      <c r="B142" s="21">
        <v>136</v>
      </c>
      <c r="C142" s="21" t="s">
        <v>97</v>
      </c>
      <c r="D142" s="21" t="s">
        <v>178</v>
      </c>
      <c r="E142" s="21" t="s">
        <v>183</v>
      </c>
      <c r="F142" s="25">
        <v>9</v>
      </c>
      <c r="G142" s="26">
        <v>6</v>
      </c>
      <c r="H142" s="21" t="s">
        <v>243</v>
      </c>
      <c r="I142" s="23">
        <v>1</v>
      </c>
      <c r="J142" s="24">
        <v>109.47</v>
      </c>
      <c r="K142" s="32">
        <v>15.879999999999999</v>
      </c>
      <c r="L142" s="24">
        <v>18.25</v>
      </c>
      <c r="M142" s="34">
        <v>13</v>
      </c>
      <c r="N142" s="34"/>
      <c r="O142" s="22" t="str">
        <f>IF(ISNA(VLOOKUP(Table_master_data[[#This Row],[Pick]],Table2[#All],2,FALSE)),"-",VLOOKUP(Table_master_data[[#This Row],[Pick]],Table2[#All],2,FALSE))</f>
        <v>Rotiation FWD</v>
      </c>
      <c r="P142" s="22" t="s">
        <v>842</v>
      </c>
    </row>
    <row r="143" spans="2:16" x14ac:dyDescent="0.25">
      <c r="B143" s="21">
        <v>457</v>
      </c>
      <c r="C143" s="21" t="s">
        <v>294</v>
      </c>
      <c r="D143" s="21" t="s">
        <v>179</v>
      </c>
      <c r="E143" s="21" t="s">
        <v>193</v>
      </c>
      <c r="F143" s="25">
        <v>48</v>
      </c>
      <c r="G143" s="26">
        <v>5.5</v>
      </c>
      <c r="H143" s="21" t="s">
        <v>243</v>
      </c>
      <c r="I143" s="23">
        <v>1</v>
      </c>
      <c r="J143" s="24">
        <v>108.58</v>
      </c>
      <c r="K143" s="32">
        <v>16.21</v>
      </c>
      <c r="L143" s="24">
        <v>19.739999999999998</v>
      </c>
      <c r="M143" s="34"/>
      <c r="N143" s="34"/>
      <c r="O143" s="22" t="str">
        <f>IF(ISNA(VLOOKUP(Table_master_data[[#This Row],[Pick]],Table2[#All],2,FALSE)),"-",VLOOKUP(Table_master_data[[#This Row],[Pick]],Table2[#All],2,FALSE))</f>
        <v>-</v>
      </c>
      <c r="P143" s="22"/>
    </row>
    <row r="144" spans="2:16" x14ac:dyDescent="0.25">
      <c r="B144" s="21">
        <v>418</v>
      </c>
      <c r="C144" s="21" t="s">
        <v>449</v>
      </c>
      <c r="D144" s="21" t="s">
        <v>179</v>
      </c>
      <c r="E144" s="21" t="s">
        <v>184</v>
      </c>
      <c r="F144" s="25">
        <v>88</v>
      </c>
      <c r="G144" s="26">
        <v>6.5</v>
      </c>
      <c r="H144" s="21" t="s">
        <v>243</v>
      </c>
      <c r="I144" s="23">
        <v>1</v>
      </c>
      <c r="J144" s="24">
        <v>108.53</v>
      </c>
      <c r="K144" s="32">
        <v>15.620000000000001</v>
      </c>
      <c r="L144" s="24">
        <v>16.7</v>
      </c>
      <c r="M144" s="34"/>
      <c r="N144" s="34"/>
      <c r="O144" s="22" t="str">
        <f>IF(ISNA(VLOOKUP(Table_master_data[[#This Row],[Pick]],Table2[#All],2,FALSE)),"-",VLOOKUP(Table_master_data[[#This Row],[Pick]],Table2[#All],2,FALSE))</f>
        <v>-</v>
      </c>
      <c r="P144" s="22"/>
    </row>
    <row r="145" spans="2:16" x14ac:dyDescent="0.25">
      <c r="B145" s="21">
        <v>625</v>
      </c>
      <c r="C145" s="21" t="s">
        <v>498</v>
      </c>
      <c r="D145" s="21" t="s">
        <v>178</v>
      </c>
      <c r="E145" s="21" t="s">
        <v>372</v>
      </c>
      <c r="F145" s="25">
        <v>42</v>
      </c>
      <c r="G145" s="26">
        <v>6</v>
      </c>
      <c r="H145" s="21" t="s">
        <v>243</v>
      </c>
      <c r="I145" s="23">
        <v>1</v>
      </c>
      <c r="J145" s="24">
        <v>108.42</v>
      </c>
      <c r="K145" s="32">
        <v>16.02</v>
      </c>
      <c r="L145" s="24">
        <v>18.07</v>
      </c>
      <c r="M145" s="34">
        <v>13</v>
      </c>
      <c r="N145" s="34"/>
      <c r="O145" s="22" t="str">
        <f>IF(ISNA(VLOOKUP(Table_master_data[[#This Row],[Pick]],Table2[#All],2,FALSE)),"-",VLOOKUP(Table_master_data[[#This Row],[Pick]],Table2[#All],2,FALSE))</f>
        <v>Rotiation FWD</v>
      </c>
      <c r="P145" s="22"/>
    </row>
    <row r="146" spans="2:16" x14ac:dyDescent="0.25">
      <c r="B146" s="21">
        <v>645</v>
      </c>
      <c r="C146" s="21" t="s">
        <v>813</v>
      </c>
      <c r="D146" s="21" t="s">
        <v>179</v>
      </c>
      <c r="E146" s="21" t="s">
        <v>182</v>
      </c>
      <c r="F146" s="25">
        <v>0</v>
      </c>
      <c r="G146" s="26">
        <v>5.5</v>
      </c>
      <c r="H146" s="21" t="s">
        <v>243</v>
      </c>
      <c r="I146" s="23">
        <v>1</v>
      </c>
      <c r="J146" s="24">
        <v>108.32</v>
      </c>
      <c r="K146" s="32">
        <v>14.6</v>
      </c>
      <c r="L146" s="24">
        <v>19.690000000000001</v>
      </c>
      <c r="M146" s="34"/>
      <c r="N146" s="34"/>
      <c r="O146" s="22" t="str">
        <f>IF(ISNA(VLOOKUP(Table_master_data[[#This Row],[Pick]],Table2[#All],2,FALSE)),"-",VLOOKUP(Table_master_data[[#This Row],[Pick]],Table2[#All],2,FALSE))</f>
        <v>-</v>
      </c>
      <c r="P146" s="22"/>
    </row>
    <row r="147" spans="2:16" x14ac:dyDescent="0.25">
      <c r="B147" s="21">
        <v>605</v>
      </c>
      <c r="C147" s="21" t="s">
        <v>149</v>
      </c>
      <c r="D147" s="21" t="s">
        <v>181</v>
      </c>
      <c r="E147" s="21" t="s">
        <v>372</v>
      </c>
      <c r="F147" s="25">
        <v>82</v>
      </c>
      <c r="G147" s="26">
        <v>4.5</v>
      </c>
      <c r="H147" s="21" t="s">
        <v>243</v>
      </c>
      <c r="I147" s="23">
        <v>1</v>
      </c>
      <c r="J147" s="24">
        <v>108.25</v>
      </c>
      <c r="K147" s="32">
        <v>15.209999999999999</v>
      </c>
      <c r="L147" s="24">
        <v>24.06</v>
      </c>
      <c r="M147" s="34">
        <v>11</v>
      </c>
      <c r="N147" s="34"/>
      <c r="O147" s="22" t="str">
        <f>IF(ISNA(VLOOKUP(Table_master_data[[#This Row],[Pick]],Table2[#All],2,FALSE)),"-",VLOOKUP(Table_master_data[[#This Row],[Pick]],Table2[#All],2,FALSE))</f>
        <v>Solid DEF</v>
      </c>
      <c r="P147" s="22"/>
    </row>
    <row r="148" spans="2:16" x14ac:dyDescent="0.25">
      <c r="B148" s="21">
        <v>19</v>
      </c>
      <c r="C148" s="21" t="s">
        <v>13</v>
      </c>
      <c r="D148" s="21" t="s">
        <v>179</v>
      </c>
      <c r="E148" s="21" t="s">
        <v>194</v>
      </c>
      <c r="F148" s="25">
        <v>125</v>
      </c>
      <c r="G148" s="26">
        <v>7</v>
      </c>
      <c r="H148" s="21" t="s">
        <v>243</v>
      </c>
      <c r="I148" s="23">
        <v>1</v>
      </c>
      <c r="J148" s="24">
        <v>108.12</v>
      </c>
      <c r="K148" s="32">
        <v>15.4</v>
      </c>
      <c r="L148" s="24">
        <v>15.45</v>
      </c>
      <c r="M148" s="34"/>
      <c r="N148" s="34"/>
      <c r="O148" s="22" t="str">
        <f>IF(ISNA(VLOOKUP(Table_master_data[[#This Row],[Pick]],Table2[#All],2,FALSE)),"-",VLOOKUP(Table_master_data[[#This Row],[Pick]],Table2[#All],2,FALSE))</f>
        <v>-</v>
      </c>
      <c r="P148" s="22" t="s">
        <v>36</v>
      </c>
    </row>
    <row r="149" spans="2:16" x14ac:dyDescent="0.25">
      <c r="B149" s="21">
        <v>10</v>
      </c>
      <c r="C149" s="21" t="s">
        <v>579</v>
      </c>
      <c r="D149" s="21" t="s">
        <v>181</v>
      </c>
      <c r="E149" s="21" t="s">
        <v>194</v>
      </c>
      <c r="F149" s="25">
        <v>37</v>
      </c>
      <c r="G149" s="26">
        <v>5.5</v>
      </c>
      <c r="H149" s="21" t="s">
        <v>243</v>
      </c>
      <c r="I149" s="23">
        <v>1</v>
      </c>
      <c r="J149" s="24">
        <v>108.06</v>
      </c>
      <c r="K149" s="32">
        <v>13.36</v>
      </c>
      <c r="L149" s="24">
        <v>19.649999999999999</v>
      </c>
      <c r="M149" s="34">
        <v>6</v>
      </c>
      <c r="N149" s="34" t="s">
        <v>829</v>
      </c>
      <c r="O149" s="22" t="str">
        <f>IF(ISNA(VLOOKUP(Table_master_data[[#This Row],[Pick]],Table2[#All],2,FALSE)),"-",VLOOKUP(Table_master_data[[#This Row],[Pick]],Table2[#All],2,FALSE))</f>
        <v>Priority DEF</v>
      </c>
      <c r="P149" s="22" t="s">
        <v>837</v>
      </c>
    </row>
    <row r="150" spans="2:16" x14ac:dyDescent="0.25">
      <c r="B150" s="21">
        <v>54</v>
      </c>
      <c r="C150" s="21" t="s">
        <v>89</v>
      </c>
      <c r="D150" s="21" t="s">
        <v>179</v>
      </c>
      <c r="E150" s="21" t="s">
        <v>191</v>
      </c>
      <c r="F150" s="25">
        <v>78</v>
      </c>
      <c r="G150" s="26">
        <v>5.5</v>
      </c>
      <c r="H150" s="21" t="s">
        <v>243</v>
      </c>
      <c r="I150" s="23">
        <v>1</v>
      </c>
      <c r="J150" s="24">
        <v>107.96</v>
      </c>
      <c r="K150" s="32">
        <v>14.760000000000002</v>
      </c>
      <c r="L150" s="24">
        <v>19.63</v>
      </c>
      <c r="M150" s="34"/>
      <c r="N150" s="34"/>
      <c r="O150" s="22" t="str">
        <f>IF(ISNA(VLOOKUP(Table_master_data[[#This Row],[Pick]],Table2[#All],2,FALSE)),"-",VLOOKUP(Table_master_data[[#This Row],[Pick]],Table2[#All],2,FALSE))</f>
        <v>-</v>
      </c>
      <c r="P150" s="22" t="s">
        <v>838</v>
      </c>
    </row>
    <row r="151" spans="2:16" x14ac:dyDescent="0.25">
      <c r="B151" s="21">
        <v>258</v>
      </c>
      <c r="C151" s="21" t="s">
        <v>83</v>
      </c>
      <c r="D151" s="21" t="s">
        <v>181</v>
      </c>
      <c r="E151" s="21" t="s">
        <v>188</v>
      </c>
      <c r="F151" s="25">
        <v>123</v>
      </c>
      <c r="G151" s="26">
        <v>5</v>
      </c>
      <c r="H151" s="21" t="s">
        <v>243</v>
      </c>
      <c r="I151" s="23">
        <v>1</v>
      </c>
      <c r="J151" s="24">
        <v>107.26</v>
      </c>
      <c r="K151" s="32">
        <v>14.719999999999999</v>
      </c>
      <c r="L151" s="24">
        <v>21.45</v>
      </c>
      <c r="M151" s="34">
        <v>9</v>
      </c>
      <c r="N151" s="34"/>
      <c r="O151" s="22" t="str">
        <f>IF(ISNA(VLOOKUP(Table_master_data[[#This Row],[Pick]],Table2[#All],2,FALSE)),"-",VLOOKUP(Table_master_data[[#This Row],[Pick]],Table2[#All],2,FALSE))</f>
        <v>Solid DEF</v>
      </c>
      <c r="P151" s="22"/>
    </row>
    <row r="152" spans="2:16" x14ac:dyDescent="0.25">
      <c r="B152" s="21">
        <v>477</v>
      </c>
      <c r="C152" s="21" t="s">
        <v>455</v>
      </c>
      <c r="D152" s="21" t="s">
        <v>181</v>
      </c>
      <c r="E152" s="21" t="s">
        <v>186</v>
      </c>
      <c r="F152" s="25">
        <v>105</v>
      </c>
      <c r="G152" s="26">
        <v>5</v>
      </c>
      <c r="H152" s="21" t="s">
        <v>243</v>
      </c>
      <c r="I152" s="23">
        <v>1</v>
      </c>
      <c r="J152" s="24">
        <v>106.91</v>
      </c>
      <c r="K152" s="32">
        <v>13.469999999999999</v>
      </c>
      <c r="L152" s="24">
        <v>21.38</v>
      </c>
      <c r="M152" s="34">
        <v>9</v>
      </c>
      <c r="N152" s="34" t="s">
        <v>829</v>
      </c>
      <c r="O152" s="22" t="str">
        <f>IF(ISNA(VLOOKUP(Table_master_data[[#This Row],[Pick]],Table2[#All],2,FALSE)),"-",VLOOKUP(Table_master_data[[#This Row],[Pick]],Table2[#All],2,FALSE))</f>
        <v>Solid DEF</v>
      </c>
      <c r="P152" s="22" t="s">
        <v>840</v>
      </c>
    </row>
    <row r="153" spans="2:16" x14ac:dyDescent="0.25">
      <c r="B153" s="21">
        <v>670</v>
      </c>
      <c r="C153" s="21" t="s">
        <v>769</v>
      </c>
      <c r="D153" s="21" t="s">
        <v>258</v>
      </c>
      <c r="E153" s="21" t="s">
        <v>802</v>
      </c>
      <c r="F153" s="25">
        <v>0</v>
      </c>
      <c r="G153" s="26">
        <v>4.5</v>
      </c>
      <c r="H153" s="21" t="s">
        <v>243</v>
      </c>
      <c r="I153" s="23">
        <v>1</v>
      </c>
      <c r="J153" s="24">
        <v>106.9</v>
      </c>
      <c r="K153" s="32">
        <v>15.2</v>
      </c>
      <c r="L153" s="24">
        <v>23.76</v>
      </c>
      <c r="M153" s="34"/>
      <c r="N153" s="34"/>
      <c r="O153" s="22" t="str">
        <f>IF(ISNA(VLOOKUP(Table_master_data[[#This Row],[Pick]],Table2[#All],2,FALSE)),"-",VLOOKUP(Table_master_data[[#This Row],[Pick]],Table2[#All],2,FALSE))</f>
        <v>-</v>
      </c>
      <c r="P153" s="22"/>
    </row>
    <row r="154" spans="2:16" x14ac:dyDescent="0.25">
      <c r="B154" s="21">
        <v>508</v>
      </c>
      <c r="C154" s="21" t="s">
        <v>461</v>
      </c>
      <c r="D154" s="21" t="s">
        <v>181</v>
      </c>
      <c r="E154" s="21" t="s">
        <v>374</v>
      </c>
      <c r="F154" s="25">
        <v>109</v>
      </c>
      <c r="G154" s="26">
        <v>5</v>
      </c>
      <c r="H154" s="21" t="s">
        <v>243</v>
      </c>
      <c r="I154" s="23">
        <v>1</v>
      </c>
      <c r="J154" s="24">
        <v>106.43</v>
      </c>
      <c r="K154" s="32">
        <v>14.860000000000001</v>
      </c>
      <c r="L154" s="24">
        <v>21.29</v>
      </c>
      <c r="M154" s="34"/>
      <c r="N154" s="34"/>
      <c r="O154" s="22" t="str">
        <f>IF(ISNA(VLOOKUP(Table_master_data[[#This Row],[Pick]],Table2[#All],2,FALSE)),"-",VLOOKUP(Table_master_data[[#This Row],[Pick]],Table2[#All],2,FALSE))</f>
        <v>-</v>
      </c>
      <c r="P154" s="22" t="s">
        <v>837</v>
      </c>
    </row>
    <row r="155" spans="2:16" x14ac:dyDescent="0.25">
      <c r="B155" s="21">
        <v>293</v>
      </c>
      <c r="C155" s="21" t="s">
        <v>157</v>
      </c>
      <c r="D155" s="21" t="s">
        <v>181</v>
      </c>
      <c r="E155" s="21" t="s">
        <v>185</v>
      </c>
      <c r="F155" s="25">
        <v>65</v>
      </c>
      <c r="G155" s="26">
        <v>5</v>
      </c>
      <c r="H155" s="21" t="s">
        <v>243</v>
      </c>
      <c r="I155" s="23">
        <v>1</v>
      </c>
      <c r="J155" s="24">
        <v>106.1</v>
      </c>
      <c r="K155" s="32">
        <v>13.669999999999998</v>
      </c>
      <c r="L155" s="24">
        <v>21.22</v>
      </c>
      <c r="M155" s="34">
        <v>11</v>
      </c>
      <c r="N155" s="34"/>
      <c r="O155" s="22" t="str">
        <f>IF(ISNA(VLOOKUP(Table_master_data[[#This Row],[Pick]],Table2[#All],2,FALSE)),"-",VLOOKUP(Table_master_data[[#This Row],[Pick]],Table2[#All],2,FALSE))</f>
        <v>Solid DEF</v>
      </c>
      <c r="P155" s="22"/>
    </row>
    <row r="156" spans="2:16" x14ac:dyDescent="0.25">
      <c r="B156" s="21">
        <v>164</v>
      </c>
      <c r="C156" s="21" t="s">
        <v>645</v>
      </c>
      <c r="D156" s="21" t="s">
        <v>179</v>
      </c>
      <c r="E156" s="21" t="s">
        <v>373</v>
      </c>
      <c r="F156" s="25">
        <v>50</v>
      </c>
      <c r="G156" s="26">
        <v>5.5</v>
      </c>
      <c r="H156" s="21" t="s">
        <v>243</v>
      </c>
      <c r="I156" s="23">
        <v>1</v>
      </c>
      <c r="J156" s="24">
        <v>105.95</v>
      </c>
      <c r="K156" s="32">
        <v>15.950000000000001</v>
      </c>
      <c r="L156" s="24">
        <v>19.260000000000002</v>
      </c>
      <c r="M156" s="34"/>
      <c r="N156" s="34"/>
      <c r="O156" s="22" t="str">
        <f>IF(ISNA(VLOOKUP(Table_master_data[[#This Row],[Pick]],Table2[#All],2,FALSE)),"-",VLOOKUP(Table_master_data[[#This Row],[Pick]],Table2[#All],2,FALSE))</f>
        <v>-</v>
      </c>
      <c r="P156" s="22"/>
    </row>
    <row r="157" spans="2:16" x14ac:dyDescent="0.25">
      <c r="B157" s="21">
        <v>151</v>
      </c>
      <c r="C157" s="21" t="s">
        <v>291</v>
      </c>
      <c r="D157" s="21" t="s">
        <v>181</v>
      </c>
      <c r="E157" s="21" t="s">
        <v>373</v>
      </c>
      <c r="F157" s="25">
        <v>87</v>
      </c>
      <c r="G157" s="26">
        <v>4.5</v>
      </c>
      <c r="H157" s="21" t="s">
        <v>243</v>
      </c>
      <c r="I157" s="23">
        <v>1</v>
      </c>
      <c r="J157" s="24">
        <v>105.72</v>
      </c>
      <c r="K157" s="32">
        <v>13.889999999999999</v>
      </c>
      <c r="L157" s="24">
        <v>23.49</v>
      </c>
      <c r="M157" s="34">
        <v>9</v>
      </c>
      <c r="N157" s="34"/>
      <c r="O157" s="22" t="str">
        <f>IF(ISNA(VLOOKUP(Table_master_data[[#This Row],[Pick]],Table2[#All],2,FALSE)),"-",VLOOKUP(Table_master_data[[#This Row],[Pick]],Table2[#All],2,FALSE))</f>
        <v>Solid DEF</v>
      </c>
      <c r="P157" s="22"/>
    </row>
    <row r="158" spans="2:16" x14ac:dyDescent="0.25">
      <c r="B158" s="21">
        <v>322</v>
      </c>
      <c r="C158" s="21" t="s">
        <v>106</v>
      </c>
      <c r="D158" s="21" t="s">
        <v>181</v>
      </c>
      <c r="E158" s="21" t="s">
        <v>189</v>
      </c>
      <c r="F158" s="25">
        <v>49</v>
      </c>
      <c r="G158" s="26">
        <v>4.5</v>
      </c>
      <c r="H158" s="21" t="s">
        <v>243</v>
      </c>
      <c r="I158" s="23">
        <v>1</v>
      </c>
      <c r="J158" s="24">
        <v>105.48</v>
      </c>
      <c r="K158" s="32">
        <v>14.14</v>
      </c>
      <c r="L158" s="24">
        <v>23.44</v>
      </c>
      <c r="M158" s="34">
        <v>11</v>
      </c>
      <c r="N158" s="34"/>
      <c r="O158" s="22" t="str">
        <f>IF(ISNA(VLOOKUP(Table_master_data[[#This Row],[Pick]],Table2[#All],2,FALSE)),"-",VLOOKUP(Table_master_data[[#This Row],[Pick]],Table2[#All],2,FALSE))</f>
        <v>Solid DEF</v>
      </c>
      <c r="P158" s="22"/>
    </row>
    <row r="159" spans="2:16" x14ac:dyDescent="0.25">
      <c r="B159" s="21">
        <v>129</v>
      </c>
      <c r="C159" s="21" t="s">
        <v>408</v>
      </c>
      <c r="D159" s="21" t="s">
        <v>179</v>
      </c>
      <c r="E159" s="21" t="s">
        <v>183</v>
      </c>
      <c r="F159" s="25">
        <v>43</v>
      </c>
      <c r="G159" s="26">
        <v>5</v>
      </c>
      <c r="H159" s="21" t="s">
        <v>243</v>
      </c>
      <c r="I159" s="23">
        <v>1</v>
      </c>
      <c r="J159" s="24">
        <v>105.11</v>
      </c>
      <c r="K159" s="32">
        <v>14.15</v>
      </c>
      <c r="L159" s="24">
        <v>21.02</v>
      </c>
      <c r="M159" s="34"/>
      <c r="N159" s="34"/>
      <c r="O159" s="22" t="str">
        <f>IF(ISNA(VLOOKUP(Table_master_data[[#This Row],[Pick]],Table2[#All],2,FALSE)),"-",VLOOKUP(Table_master_data[[#This Row],[Pick]],Table2[#All],2,FALSE))</f>
        <v>-</v>
      </c>
      <c r="P159" s="22"/>
    </row>
    <row r="160" spans="2:16" x14ac:dyDescent="0.25">
      <c r="B160" s="21">
        <v>292</v>
      </c>
      <c r="C160" s="21" t="s">
        <v>93</v>
      </c>
      <c r="D160" s="21" t="s">
        <v>181</v>
      </c>
      <c r="E160" s="21" t="s">
        <v>185</v>
      </c>
      <c r="F160" s="25">
        <v>121</v>
      </c>
      <c r="G160" s="26">
        <v>5</v>
      </c>
      <c r="H160" s="21" t="s">
        <v>250</v>
      </c>
      <c r="I160" s="23">
        <v>0.75</v>
      </c>
      <c r="J160" s="24">
        <v>105.04</v>
      </c>
      <c r="K160" s="32">
        <v>11.98</v>
      </c>
      <c r="L160" s="24">
        <v>21.01</v>
      </c>
      <c r="M160" s="34">
        <v>11</v>
      </c>
      <c r="N160" s="34" t="s">
        <v>826</v>
      </c>
      <c r="O160" s="22" t="str">
        <f>IF(ISNA(VLOOKUP(Table_master_data[[#This Row],[Pick]],Table2[#All],2,FALSE)),"-",VLOOKUP(Table_master_data[[#This Row],[Pick]],Table2[#All],2,FALSE))</f>
        <v>Solid DEF</v>
      </c>
      <c r="P160" s="22" t="s">
        <v>841</v>
      </c>
    </row>
    <row r="161" spans="2:16" x14ac:dyDescent="0.25">
      <c r="B161" s="21">
        <v>417</v>
      </c>
      <c r="C161" s="21" t="s">
        <v>706</v>
      </c>
      <c r="D161" s="21" t="s">
        <v>179</v>
      </c>
      <c r="E161" s="21" t="s">
        <v>184</v>
      </c>
      <c r="F161" s="25">
        <v>0</v>
      </c>
      <c r="G161" s="26">
        <v>6.5</v>
      </c>
      <c r="H161" s="21" t="s">
        <v>243</v>
      </c>
      <c r="I161" s="23">
        <v>1</v>
      </c>
      <c r="J161" s="24">
        <v>104.68</v>
      </c>
      <c r="K161" s="32">
        <v>15.11</v>
      </c>
      <c r="L161" s="24">
        <v>16.100000000000001</v>
      </c>
      <c r="M161" s="34"/>
      <c r="N161" s="34"/>
      <c r="O161" s="22" t="str">
        <f>IF(ISNA(VLOOKUP(Table_master_data[[#This Row],[Pick]],Table2[#All],2,FALSE)),"-",VLOOKUP(Table_master_data[[#This Row],[Pick]],Table2[#All],2,FALSE))</f>
        <v>-</v>
      </c>
      <c r="P161" s="22" t="s">
        <v>4</v>
      </c>
    </row>
    <row r="162" spans="2:16" x14ac:dyDescent="0.25">
      <c r="B162" s="21">
        <v>303</v>
      </c>
      <c r="C162" s="21" t="s">
        <v>314</v>
      </c>
      <c r="D162" s="21" t="s">
        <v>179</v>
      </c>
      <c r="E162" s="21" t="s">
        <v>185</v>
      </c>
      <c r="F162" s="25">
        <v>42</v>
      </c>
      <c r="G162" s="26">
        <v>5</v>
      </c>
      <c r="H162" s="21" t="s">
        <v>243</v>
      </c>
      <c r="I162" s="23">
        <v>1</v>
      </c>
      <c r="J162" s="24">
        <v>104.1</v>
      </c>
      <c r="K162" s="32">
        <v>13.69</v>
      </c>
      <c r="L162" s="24">
        <v>20.82</v>
      </c>
      <c r="M162" s="34"/>
      <c r="N162" s="34"/>
      <c r="O162" s="22" t="str">
        <f>IF(ISNA(VLOOKUP(Table_master_data[[#This Row],[Pick]],Table2[#All],2,FALSE)),"-",VLOOKUP(Table_master_data[[#This Row],[Pick]],Table2[#All],2,FALSE))</f>
        <v>-</v>
      </c>
      <c r="P162" s="22"/>
    </row>
    <row r="163" spans="2:16" x14ac:dyDescent="0.25">
      <c r="B163" s="21">
        <v>575</v>
      </c>
      <c r="C163" s="21" t="s">
        <v>473</v>
      </c>
      <c r="D163" s="21" t="s">
        <v>181</v>
      </c>
      <c r="E163" s="21" t="s">
        <v>192</v>
      </c>
      <c r="F163" s="25">
        <v>32</v>
      </c>
      <c r="G163" s="26">
        <v>4.5</v>
      </c>
      <c r="H163" s="21" t="s">
        <v>243</v>
      </c>
      <c r="I163" s="23">
        <v>1</v>
      </c>
      <c r="J163" s="24">
        <v>103.94</v>
      </c>
      <c r="K163" s="32">
        <v>13.719999999999999</v>
      </c>
      <c r="L163" s="24">
        <v>23.1</v>
      </c>
      <c r="M163" s="34"/>
      <c r="N163" s="34"/>
      <c r="O163" s="22" t="str">
        <f>IF(ISNA(VLOOKUP(Table_master_data[[#This Row],[Pick]],Table2[#All],2,FALSE)),"-",VLOOKUP(Table_master_data[[#This Row],[Pick]],Table2[#All],2,FALSE))</f>
        <v>-</v>
      </c>
      <c r="P163" s="22" t="s">
        <v>838</v>
      </c>
    </row>
    <row r="164" spans="2:16" x14ac:dyDescent="0.25">
      <c r="B164" s="21">
        <v>166</v>
      </c>
      <c r="C164" s="21" t="s">
        <v>561</v>
      </c>
      <c r="D164" s="21" t="s">
        <v>179</v>
      </c>
      <c r="E164" s="21" t="s">
        <v>373</v>
      </c>
      <c r="F164" s="25">
        <v>74</v>
      </c>
      <c r="G164" s="26">
        <v>5</v>
      </c>
      <c r="H164" s="21" t="s">
        <v>243</v>
      </c>
      <c r="I164" s="23">
        <v>1</v>
      </c>
      <c r="J164" s="24">
        <v>103.66</v>
      </c>
      <c r="K164" s="32">
        <v>14.679999999999998</v>
      </c>
      <c r="L164" s="24">
        <v>20.73</v>
      </c>
      <c r="M164" s="34"/>
      <c r="N164" s="34"/>
      <c r="O164" s="22" t="str">
        <f>IF(ISNA(VLOOKUP(Table_master_data[[#This Row],[Pick]],Table2[#All],2,FALSE)),"-",VLOOKUP(Table_master_data[[#This Row],[Pick]],Table2[#All],2,FALSE))</f>
        <v>-</v>
      </c>
      <c r="P164" s="22"/>
    </row>
    <row r="165" spans="2:16" x14ac:dyDescent="0.25">
      <c r="B165" s="21">
        <v>665</v>
      </c>
      <c r="C165" s="21" t="s">
        <v>678</v>
      </c>
      <c r="D165" s="21" t="s">
        <v>258</v>
      </c>
      <c r="E165" s="21" t="s">
        <v>815</v>
      </c>
      <c r="F165" s="25">
        <v>0</v>
      </c>
      <c r="G165" s="26">
        <v>4.5</v>
      </c>
      <c r="H165" s="21" t="s">
        <v>243</v>
      </c>
      <c r="I165" s="23">
        <v>1</v>
      </c>
      <c r="J165" s="24">
        <v>103.05</v>
      </c>
      <c r="K165" s="32">
        <v>14.829999999999998</v>
      </c>
      <c r="L165" s="24">
        <v>22.9</v>
      </c>
      <c r="M165" s="34"/>
      <c r="N165" s="34"/>
      <c r="O165" s="22" t="str">
        <f>IF(ISNA(VLOOKUP(Table_master_data[[#This Row],[Pick]],Table2[#All],2,FALSE)),"-",VLOOKUP(Table_master_data[[#This Row],[Pick]],Table2[#All],2,FALSE))</f>
        <v>-</v>
      </c>
      <c r="P165" s="22"/>
    </row>
    <row r="166" spans="2:16" x14ac:dyDescent="0.25">
      <c r="B166" s="21">
        <v>507</v>
      </c>
      <c r="C166" s="21" t="s">
        <v>381</v>
      </c>
      <c r="D166" s="21" t="s">
        <v>181</v>
      </c>
      <c r="E166" s="21" t="s">
        <v>374</v>
      </c>
      <c r="F166" s="25">
        <v>128</v>
      </c>
      <c r="G166" s="26">
        <v>5</v>
      </c>
      <c r="H166" s="21" t="s">
        <v>243</v>
      </c>
      <c r="I166" s="23">
        <v>1</v>
      </c>
      <c r="J166" s="24">
        <v>102.98</v>
      </c>
      <c r="K166" s="32">
        <v>14.530000000000001</v>
      </c>
      <c r="L166" s="24">
        <v>20.6</v>
      </c>
      <c r="M166" s="34"/>
      <c r="N166" s="34"/>
      <c r="O166" s="22" t="str">
        <f>IF(ISNA(VLOOKUP(Table_master_data[[#This Row],[Pick]],Table2[#All],2,FALSE)),"-",VLOOKUP(Table_master_data[[#This Row],[Pick]],Table2[#All],2,FALSE))</f>
        <v>-</v>
      </c>
      <c r="P166" s="22" t="s">
        <v>839</v>
      </c>
    </row>
    <row r="167" spans="2:16" x14ac:dyDescent="0.25">
      <c r="B167" s="21">
        <v>101</v>
      </c>
      <c r="C167" s="21" t="s">
        <v>159</v>
      </c>
      <c r="D167" s="21" t="s">
        <v>258</v>
      </c>
      <c r="E167" s="21" t="s">
        <v>183</v>
      </c>
      <c r="F167" s="25">
        <v>45</v>
      </c>
      <c r="G167" s="26">
        <v>4.5</v>
      </c>
      <c r="H167" s="21" t="s">
        <v>250</v>
      </c>
      <c r="I167" s="23">
        <v>0.75</v>
      </c>
      <c r="J167" s="24">
        <v>101.76</v>
      </c>
      <c r="K167" s="32">
        <v>13.440000000000001</v>
      </c>
      <c r="L167" s="24">
        <v>22.61</v>
      </c>
      <c r="M167" s="34">
        <v>8</v>
      </c>
      <c r="N167" s="34" t="s">
        <v>829</v>
      </c>
      <c r="O167" s="22" t="str">
        <f>IF(ISNA(VLOOKUP(Table_master_data[[#This Row],[Pick]],Table2[#All],2,FALSE)),"-",VLOOKUP(Table_master_data[[#This Row],[Pick]],Table2[#All],2,FALSE))</f>
        <v>Priority GK</v>
      </c>
      <c r="P167" s="22" t="s">
        <v>36</v>
      </c>
    </row>
    <row r="168" spans="2:16" x14ac:dyDescent="0.25">
      <c r="B168" s="21">
        <v>441</v>
      </c>
      <c r="C168" s="21" t="s">
        <v>716</v>
      </c>
      <c r="D168" s="21" t="s">
        <v>181</v>
      </c>
      <c r="E168" s="21" t="s">
        <v>193</v>
      </c>
      <c r="F168" s="25">
        <v>18</v>
      </c>
      <c r="G168" s="26">
        <v>4.5</v>
      </c>
      <c r="H168" s="21" t="s">
        <v>243</v>
      </c>
      <c r="I168" s="23">
        <v>1</v>
      </c>
      <c r="J168" s="24">
        <v>101.66</v>
      </c>
      <c r="K168" s="32">
        <v>12.89</v>
      </c>
      <c r="L168" s="24">
        <v>22.59</v>
      </c>
      <c r="M168" s="34"/>
      <c r="N168" s="34"/>
      <c r="O168" s="22" t="str">
        <f>IF(ISNA(VLOOKUP(Table_master_data[[#This Row],[Pick]],Table2[#All],2,FALSE)),"-",VLOOKUP(Table_master_data[[#This Row],[Pick]],Table2[#All],2,FALSE))</f>
        <v>-</v>
      </c>
      <c r="P168" s="22"/>
    </row>
    <row r="169" spans="2:16" x14ac:dyDescent="0.25">
      <c r="B169" s="21">
        <v>230</v>
      </c>
      <c r="C169" s="21" t="s">
        <v>509</v>
      </c>
      <c r="D169" s="21" t="s">
        <v>181</v>
      </c>
      <c r="E169" s="21" t="s">
        <v>187</v>
      </c>
      <c r="F169" s="25">
        <v>26</v>
      </c>
      <c r="G169" s="26">
        <v>4.5</v>
      </c>
      <c r="H169" s="21" t="s">
        <v>243</v>
      </c>
      <c r="I169" s="23">
        <v>1</v>
      </c>
      <c r="J169" s="24">
        <v>101.53</v>
      </c>
      <c r="K169" s="32">
        <v>11.370000000000001</v>
      </c>
      <c r="L169" s="24">
        <v>22.56</v>
      </c>
      <c r="M169" s="34"/>
      <c r="N169" s="34"/>
      <c r="O169" s="22" t="str">
        <f>IF(ISNA(VLOOKUP(Table_master_data[[#This Row],[Pick]],Table2[#All],2,FALSE)),"-",VLOOKUP(Table_master_data[[#This Row],[Pick]],Table2[#All],2,FALSE))</f>
        <v>-</v>
      </c>
      <c r="P169" s="22"/>
    </row>
    <row r="170" spans="2:16" x14ac:dyDescent="0.25">
      <c r="B170" s="21">
        <v>343</v>
      </c>
      <c r="C170" s="21" t="s">
        <v>670</v>
      </c>
      <c r="D170" s="21" t="s">
        <v>181</v>
      </c>
      <c r="E170" s="21" t="s">
        <v>815</v>
      </c>
      <c r="F170" s="25">
        <v>0</v>
      </c>
      <c r="G170" s="26">
        <v>4.5</v>
      </c>
      <c r="H170" s="21" t="s">
        <v>243</v>
      </c>
      <c r="I170" s="23">
        <v>1</v>
      </c>
      <c r="J170" s="24">
        <v>100.63</v>
      </c>
      <c r="K170" s="32">
        <v>13.73</v>
      </c>
      <c r="L170" s="24">
        <v>22.36</v>
      </c>
      <c r="M170" s="34"/>
      <c r="N170" s="34"/>
      <c r="O170" s="22" t="str">
        <f>IF(ISNA(VLOOKUP(Table_master_data[[#This Row],[Pick]],Table2[#All],2,FALSE)),"-",VLOOKUP(Table_master_data[[#This Row],[Pick]],Table2[#All],2,FALSE))</f>
        <v>-</v>
      </c>
      <c r="P170" s="22"/>
    </row>
    <row r="171" spans="2:16" x14ac:dyDescent="0.25">
      <c r="B171" s="21">
        <v>407</v>
      </c>
      <c r="C171" s="21" t="s">
        <v>316</v>
      </c>
      <c r="D171" s="21" t="s">
        <v>181</v>
      </c>
      <c r="E171" s="21" t="s">
        <v>184</v>
      </c>
      <c r="F171" s="25">
        <v>81</v>
      </c>
      <c r="G171" s="26">
        <v>5.5</v>
      </c>
      <c r="H171" s="21" t="s">
        <v>243</v>
      </c>
      <c r="I171" s="23">
        <v>1</v>
      </c>
      <c r="J171" s="24">
        <v>100.46</v>
      </c>
      <c r="K171" s="32">
        <v>14.66</v>
      </c>
      <c r="L171" s="24">
        <v>18.27</v>
      </c>
      <c r="M171" s="34"/>
      <c r="N171" s="34"/>
      <c r="O171" s="22" t="str">
        <f>IF(ISNA(VLOOKUP(Table_master_data[[#This Row],[Pick]],Table2[#All],2,FALSE)),"-",VLOOKUP(Table_master_data[[#This Row],[Pick]],Table2[#All],2,FALSE))</f>
        <v>-</v>
      </c>
      <c r="P171" s="22" t="s">
        <v>4</v>
      </c>
    </row>
    <row r="172" spans="2:16" x14ac:dyDescent="0.25">
      <c r="B172" s="21">
        <v>113</v>
      </c>
      <c r="C172" s="21" t="s">
        <v>170</v>
      </c>
      <c r="D172" s="21" t="s">
        <v>181</v>
      </c>
      <c r="E172" s="21" t="s">
        <v>183</v>
      </c>
      <c r="F172" s="25">
        <v>62</v>
      </c>
      <c r="G172" s="26">
        <v>4.5</v>
      </c>
      <c r="H172" s="21" t="s">
        <v>243</v>
      </c>
      <c r="I172" s="23">
        <v>1</v>
      </c>
      <c r="J172" s="24">
        <v>100.03</v>
      </c>
      <c r="K172" s="32">
        <v>13.350000000000001</v>
      </c>
      <c r="L172" s="24">
        <v>22.23</v>
      </c>
      <c r="M172" s="34"/>
      <c r="N172" s="34"/>
      <c r="O172" s="22" t="str">
        <f>IF(ISNA(VLOOKUP(Table_master_data[[#This Row],[Pick]],Table2[#All],2,FALSE)),"-",VLOOKUP(Table_master_data[[#This Row],[Pick]],Table2[#All],2,FALSE))</f>
        <v>-</v>
      </c>
      <c r="P172" s="22"/>
    </row>
    <row r="173" spans="2:16" x14ac:dyDescent="0.25">
      <c r="B173" s="21">
        <v>58</v>
      </c>
      <c r="C173" s="21" t="s">
        <v>88</v>
      </c>
      <c r="D173" s="21" t="s">
        <v>179</v>
      </c>
      <c r="E173" s="21" t="s">
        <v>191</v>
      </c>
      <c r="F173" s="25">
        <v>57</v>
      </c>
      <c r="G173" s="26">
        <v>5</v>
      </c>
      <c r="H173" s="21" t="s">
        <v>243</v>
      </c>
      <c r="I173" s="23">
        <v>1</v>
      </c>
      <c r="J173" s="24">
        <v>100.03</v>
      </c>
      <c r="K173" s="32">
        <v>14.02</v>
      </c>
      <c r="L173" s="24">
        <v>20.010000000000002</v>
      </c>
      <c r="M173" s="34"/>
      <c r="N173" s="34"/>
      <c r="O173" s="22" t="str">
        <f>IF(ISNA(VLOOKUP(Table_master_data[[#This Row],[Pick]],Table2[#All],2,FALSE)),"-",VLOOKUP(Table_master_data[[#This Row],[Pick]],Table2[#All],2,FALSE))</f>
        <v>-</v>
      </c>
      <c r="P173" s="22"/>
    </row>
    <row r="174" spans="2:16" x14ac:dyDescent="0.25">
      <c r="B174" s="21">
        <v>607</v>
      </c>
      <c r="C174" s="21" t="s">
        <v>307</v>
      </c>
      <c r="D174" s="21" t="s">
        <v>181</v>
      </c>
      <c r="E174" s="21" t="s">
        <v>372</v>
      </c>
      <c r="F174" s="25">
        <v>0</v>
      </c>
      <c r="G174" s="26">
        <v>4.5</v>
      </c>
      <c r="H174" s="21" t="s">
        <v>243</v>
      </c>
      <c r="I174" s="23">
        <v>1</v>
      </c>
      <c r="J174" s="24">
        <v>99.71</v>
      </c>
      <c r="K174" s="32">
        <v>14.16</v>
      </c>
      <c r="L174" s="24">
        <v>22.16</v>
      </c>
      <c r="M174" s="34"/>
      <c r="N174" s="34"/>
      <c r="O174" s="22" t="str">
        <f>IF(ISNA(VLOOKUP(Table_master_data[[#This Row],[Pick]],Table2[#All],2,FALSE)),"-",VLOOKUP(Table_master_data[[#This Row],[Pick]],Table2[#All],2,FALSE))</f>
        <v>-</v>
      </c>
      <c r="P174" s="22"/>
    </row>
    <row r="175" spans="2:16" x14ac:dyDescent="0.25">
      <c r="B175" s="21">
        <v>603</v>
      </c>
      <c r="C175" s="21" t="s">
        <v>787</v>
      </c>
      <c r="D175" s="21" t="s">
        <v>181</v>
      </c>
      <c r="E175" s="21" t="s">
        <v>372</v>
      </c>
      <c r="F175" s="25">
        <v>0</v>
      </c>
      <c r="G175" s="26">
        <v>4.5</v>
      </c>
      <c r="H175" s="21" t="s">
        <v>243</v>
      </c>
      <c r="I175" s="23">
        <v>1</v>
      </c>
      <c r="J175" s="24">
        <v>98.68</v>
      </c>
      <c r="K175" s="32">
        <v>14.07</v>
      </c>
      <c r="L175" s="24">
        <v>21.93</v>
      </c>
      <c r="M175" s="34"/>
      <c r="N175" s="34"/>
      <c r="O175" s="22" t="str">
        <f>IF(ISNA(VLOOKUP(Table_master_data[[#This Row],[Pick]],Table2[#All],2,FALSE)),"-",VLOOKUP(Table_master_data[[#This Row],[Pick]],Table2[#All],2,FALSE))</f>
        <v>-</v>
      </c>
      <c r="P175" s="22" t="s">
        <v>838</v>
      </c>
    </row>
    <row r="176" spans="2:16" x14ac:dyDescent="0.25">
      <c r="B176" s="21">
        <v>330</v>
      </c>
      <c r="C176" s="21" t="s">
        <v>571</v>
      </c>
      <c r="D176" s="21" t="s">
        <v>179</v>
      </c>
      <c r="E176" s="21" t="s">
        <v>189</v>
      </c>
      <c r="F176" s="25">
        <v>53</v>
      </c>
      <c r="G176" s="26">
        <v>5</v>
      </c>
      <c r="H176" s="21" t="s">
        <v>243</v>
      </c>
      <c r="I176" s="23">
        <v>1</v>
      </c>
      <c r="J176" s="24">
        <v>98.63</v>
      </c>
      <c r="K176" s="32">
        <v>13.209999999999999</v>
      </c>
      <c r="L176" s="24">
        <v>19.73</v>
      </c>
      <c r="M176" s="34"/>
      <c r="N176" s="34"/>
      <c r="O176" s="22" t="str">
        <f>IF(ISNA(VLOOKUP(Table_master_data[[#This Row],[Pick]],Table2[#All],2,FALSE)),"-",VLOOKUP(Table_master_data[[#This Row],[Pick]],Table2[#All],2,FALSE))</f>
        <v>-</v>
      </c>
      <c r="P176" s="22"/>
    </row>
    <row r="177" spans="2:16" x14ac:dyDescent="0.25">
      <c r="B177" s="21">
        <v>329</v>
      </c>
      <c r="C177" s="21" t="s">
        <v>19</v>
      </c>
      <c r="D177" s="21" t="s">
        <v>179</v>
      </c>
      <c r="E177" s="21" t="s">
        <v>189</v>
      </c>
      <c r="F177" s="25">
        <v>78</v>
      </c>
      <c r="G177" s="26">
        <v>5.5</v>
      </c>
      <c r="H177" s="21" t="s">
        <v>243</v>
      </c>
      <c r="I177" s="23">
        <v>1</v>
      </c>
      <c r="J177" s="24">
        <v>98.6</v>
      </c>
      <c r="K177" s="32">
        <v>17.78</v>
      </c>
      <c r="L177" s="24">
        <v>17.93</v>
      </c>
      <c r="M177" s="34"/>
      <c r="N177" s="34"/>
      <c r="O177" s="22" t="str">
        <f>IF(ISNA(VLOOKUP(Table_master_data[[#This Row],[Pick]],Table2[#All],2,FALSE)),"-",VLOOKUP(Table_master_data[[#This Row],[Pick]],Table2[#All],2,FALSE))</f>
        <v>-</v>
      </c>
      <c r="P177" s="22"/>
    </row>
    <row r="178" spans="2:16" x14ac:dyDescent="0.25">
      <c r="B178" s="21">
        <v>273</v>
      </c>
      <c r="C178" s="21" t="s">
        <v>425</v>
      </c>
      <c r="D178" s="21" t="s">
        <v>179</v>
      </c>
      <c r="E178" s="21" t="s">
        <v>188</v>
      </c>
      <c r="F178" s="25">
        <v>42</v>
      </c>
      <c r="G178" s="26">
        <v>5</v>
      </c>
      <c r="H178" s="21" t="s">
        <v>243</v>
      </c>
      <c r="I178" s="23">
        <v>1</v>
      </c>
      <c r="J178" s="24">
        <v>98.41</v>
      </c>
      <c r="K178" s="32">
        <v>14.979999999999999</v>
      </c>
      <c r="L178" s="24">
        <v>19.68</v>
      </c>
      <c r="M178" s="34"/>
      <c r="N178" s="34"/>
      <c r="O178" s="22" t="str">
        <f>IF(ISNA(VLOOKUP(Table_master_data[[#This Row],[Pick]],Table2[#All],2,FALSE)),"-",VLOOKUP(Table_master_data[[#This Row],[Pick]],Table2[#All],2,FALSE))</f>
        <v>-</v>
      </c>
      <c r="P178" s="22"/>
    </row>
    <row r="179" spans="2:16" x14ac:dyDescent="0.25">
      <c r="B179" s="21">
        <v>444</v>
      </c>
      <c r="C179" s="21" t="s">
        <v>450</v>
      </c>
      <c r="D179" s="21" t="s">
        <v>181</v>
      </c>
      <c r="E179" s="21" t="s">
        <v>193</v>
      </c>
      <c r="F179" s="25">
        <v>22</v>
      </c>
      <c r="G179" s="26">
        <v>4.5</v>
      </c>
      <c r="H179" s="21" t="s">
        <v>243</v>
      </c>
      <c r="I179" s="23">
        <v>1</v>
      </c>
      <c r="J179" s="24">
        <v>97.99</v>
      </c>
      <c r="K179" s="32">
        <v>12.719999999999999</v>
      </c>
      <c r="L179" s="24">
        <v>21.78</v>
      </c>
      <c r="M179" s="34"/>
      <c r="N179" s="34"/>
      <c r="O179" s="22" t="str">
        <f>IF(ISNA(VLOOKUP(Table_master_data[[#This Row],[Pick]],Table2[#All],2,FALSE)),"-",VLOOKUP(Table_master_data[[#This Row],[Pick]],Table2[#All],2,FALSE))</f>
        <v>-</v>
      </c>
      <c r="P179" s="22"/>
    </row>
    <row r="180" spans="2:16" x14ac:dyDescent="0.25">
      <c r="B180" s="21">
        <v>416</v>
      </c>
      <c r="C180" s="21" t="s">
        <v>16</v>
      </c>
      <c r="D180" s="21" t="s">
        <v>179</v>
      </c>
      <c r="E180" s="21" t="s">
        <v>184</v>
      </c>
      <c r="F180" s="25">
        <v>110</v>
      </c>
      <c r="G180" s="26">
        <v>6.5</v>
      </c>
      <c r="H180" s="21" t="s">
        <v>243</v>
      </c>
      <c r="I180" s="23">
        <v>1</v>
      </c>
      <c r="J180" s="24">
        <v>97.98</v>
      </c>
      <c r="K180" s="32">
        <v>14.190000000000001</v>
      </c>
      <c r="L180" s="24">
        <v>15.07</v>
      </c>
      <c r="M180" s="34"/>
      <c r="N180" s="34"/>
      <c r="O180" s="22" t="str">
        <f>IF(ISNA(VLOOKUP(Table_master_data[[#This Row],[Pick]],Table2[#All],2,FALSE)),"-",VLOOKUP(Table_master_data[[#This Row],[Pick]],Table2[#All],2,FALSE))</f>
        <v>-</v>
      </c>
      <c r="P180" s="22"/>
    </row>
    <row r="181" spans="2:16" x14ac:dyDescent="0.25">
      <c r="B181" s="21">
        <v>487</v>
      </c>
      <c r="C181" s="21" t="s">
        <v>380</v>
      </c>
      <c r="D181" s="21" t="s">
        <v>179</v>
      </c>
      <c r="E181" s="21" t="s">
        <v>186</v>
      </c>
      <c r="F181" s="25">
        <v>130</v>
      </c>
      <c r="G181" s="26">
        <v>6.5</v>
      </c>
      <c r="H181" s="21" t="s">
        <v>243</v>
      </c>
      <c r="I181" s="23">
        <v>1</v>
      </c>
      <c r="J181" s="24">
        <v>97.92</v>
      </c>
      <c r="K181" s="32">
        <v>18.060000000000002</v>
      </c>
      <c r="L181" s="24">
        <v>15.07</v>
      </c>
      <c r="M181" s="34"/>
      <c r="N181" s="34"/>
      <c r="O181" s="22" t="str">
        <f>IF(ISNA(VLOOKUP(Table_master_data[[#This Row],[Pick]],Table2[#All],2,FALSE)),"-",VLOOKUP(Table_master_data[[#This Row],[Pick]],Table2[#All],2,FALSE))</f>
        <v>-</v>
      </c>
      <c r="P181" s="22"/>
    </row>
    <row r="182" spans="2:16" x14ac:dyDescent="0.25">
      <c r="B182" s="21">
        <v>348</v>
      </c>
      <c r="C182" s="21" t="s">
        <v>668</v>
      </c>
      <c r="D182" s="21" t="s">
        <v>181</v>
      </c>
      <c r="E182" s="21" t="s">
        <v>815</v>
      </c>
      <c r="F182" s="25">
        <v>0</v>
      </c>
      <c r="G182" s="26">
        <v>4</v>
      </c>
      <c r="H182" s="21" t="s">
        <v>243</v>
      </c>
      <c r="I182" s="23">
        <v>1</v>
      </c>
      <c r="J182" s="24">
        <v>97.89</v>
      </c>
      <c r="K182" s="32">
        <v>13.209999999999999</v>
      </c>
      <c r="L182" s="24">
        <v>24.47</v>
      </c>
      <c r="M182" s="34">
        <v>14</v>
      </c>
      <c r="N182" s="34"/>
      <c r="O182" s="22" t="str">
        <f>IF(ISNA(VLOOKUP(Table_master_data[[#This Row],[Pick]],Table2[#All],2,FALSE)),"-",VLOOKUP(Table_master_data[[#This Row],[Pick]],Table2[#All],2,FALSE))</f>
        <v>Rotiation DEF</v>
      </c>
      <c r="P182" s="22"/>
    </row>
    <row r="183" spans="2:16" x14ac:dyDescent="0.25">
      <c r="B183" s="21">
        <v>145</v>
      </c>
      <c r="C183" s="21" t="s">
        <v>552</v>
      </c>
      <c r="D183" s="21" t="s">
        <v>181</v>
      </c>
      <c r="E183" s="21" t="s">
        <v>373</v>
      </c>
      <c r="F183" s="25">
        <v>0</v>
      </c>
      <c r="G183" s="26">
        <v>4.5</v>
      </c>
      <c r="H183" s="21" t="s">
        <v>243</v>
      </c>
      <c r="I183" s="23">
        <v>1</v>
      </c>
      <c r="J183" s="24">
        <v>97.53</v>
      </c>
      <c r="K183" s="32">
        <v>12.79</v>
      </c>
      <c r="L183" s="24">
        <v>21.67</v>
      </c>
      <c r="M183" s="34">
        <v>14</v>
      </c>
      <c r="N183" s="34" t="s">
        <v>827</v>
      </c>
      <c r="O183" s="22" t="str">
        <f>IF(ISNA(VLOOKUP(Table_master_data[[#This Row],[Pick]],Table2[#All],2,FALSE)),"-",VLOOKUP(Table_master_data[[#This Row],[Pick]],Table2[#All],2,FALSE))</f>
        <v>Rotiation DEF</v>
      </c>
      <c r="P183" s="22" t="s">
        <v>841</v>
      </c>
    </row>
    <row r="184" spans="2:16" x14ac:dyDescent="0.25">
      <c r="B184" s="21">
        <v>74</v>
      </c>
      <c r="C184" s="21" t="s">
        <v>547</v>
      </c>
      <c r="D184" s="21" t="s">
        <v>181</v>
      </c>
      <c r="E184" s="21" t="s">
        <v>190</v>
      </c>
      <c r="F184" s="25">
        <v>0</v>
      </c>
      <c r="G184" s="26">
        <v>4.5</v>
      </c>
      <c r="H184" s="21" t="s">
        <v>243</v>
      </c>
      <c r="I184" s="23">
        <v>1</v>
      </c>
      <c r="J184" s="24">
        <v>97.18</v>
      </c>
      <c r="K184" s="32">
        <v>12.799999999999999</v>
      </c>
      <c r="L184" s="24">
        <v>21.6</v>
      </c>
      <c r="M184" s="34">
        <v>14</v>
      </c>
      <c r="N184" s="34"/>
      <c r="O184" s="22" t="str">
        <f>IF(ISNA(VLOOKUP(Table_master_data[[#This Row],[Pick]],Table2[#All],2,FALSE)),"-",VLOOKUP(Table_master_data[[#This Row],[Pick]],Table2[#All],2,FALSE))</f>
        <v>Rotiation DEF</v>
      </c>
      <c r="P184" s="22"/>
    </row>
    <row r="185" spans="2:16" x14ac:dyDescent="0.25">
      <c r="B185" s="21">
        <v>676</v>
      </c>
      <c r="C185" s="21" t="s">
        <v>419</v>
      </c>
      <c r="D185" s="21" t="s">
        <v>179</v>
      </c>
      <c r="E185" s="21" t="s">
        <v>508</v>
      </c>
      <c r="F185" s="25">
        <v>0</v>
      </c>
      <c r="G185" s="26">
        <v>5</v>
      </c>
      <c r="H185" s="21" t="s">
        <v>250</v>
      </c>
      <c r="I185" s="23">
        <v>0.75</v>
      </c>
      <c r="J185" s="24">
        <v>96.57</v>
      </c>
      <c r="K185" s="32">
        <v>11.71</v>
      </c>
      <c r="L185" s="24">
        <v>19.309999999999999</v>
      </c>
      <c r="M185" s="34"/>
      <c r="N185" s="34"/>
      <c r="O185" s="22" t="str">
        <f>IF(ISNA(VLOOKUP(Table_master_data[[#This Row],[Pick]],Table2[#All],2,FALSE)),"-",VLOOKUP(Table_master_data[[#This Row],[Pick]],Table2[#All],2,FALSE))</f>
        <v>-</v>
      </c>
      <c r="P185" s="22"/>
    </row>
    <row r="186" spans="2:16" x14ac:dyDescent="0.25">
      <c r="B186" s="21">
        <v>87</v>
      </c>
      <c r="C186" s="21" t="s">
        <v>109</v>
      </c>
      <c r="D186" s="21" t="s">
        <v>179</v>
      </c>
      <c r="E186" s="21" t="s">
        <v>190</v>
      </c>
      <c r="F186" s="25">
        <v>76</v>
      </c>
      <c r="G186" s="26">
        <v>5</v>
      </c>
      <c r="H186" s="21" t="s">
        <v>250</v>
      </c>
      <c r="I186" s="23">
        <v>0.75</v>
      </c>
      <c r="J186" s="24">
        <v>95.82</v>
      </c>
      <c r="K186" s="32">
        <v>6.25</v>
      </c>
      <c r="L186" s="24">
        <v>19.16</v>
      </c>
      <c r="M186" s="34"/>
      <c r="N186" s="34"/>
      <c r="O186" s="22" t="str">
        <f>IF(ISNA(VLOOKUP(Table_master_data[[#This Row],[Pick]],Table2[#All],2,FALSE)),"-",VLOOKUP(Table_master_data[[#This Row],[Pick]],Table2[#All],2,FALSE))</f>
        <v>-</v>
      </c>
      <c r="P186" s="22"/>
    </row>
    <row r="187" spans="2:16" x14ac:dyDescent="0.25">
      <c r="B187" s="21">
        <v>36</v>
      </c>
      <c r="C187" s="21" t="s">
        <v>51</v>
      </c>
      <c r="D187" s="21" t="s">
        <v>181</v>
      </c>
      <c r="E187" s="21" t="s">
        <v>191</v>
      </c>
      <c r="F187" s="25">
        <v>76</v>
      </c>
      <c r="G187" s="26">
        <v>4.5</v>
      </c>
      <c r="H187" s="21" t="s">
        <v>243</v>
      </c>
      <c r="I187" s="23">
        <v>1</v>
      </c>
      <c r="J187" s="24">
        <v>95.81</v>
      </c>
      <c r="K187" s="32">
        <v>13.75</v>
      </c>
      <c r="L187" s="24">
        <v>21.29</v>
      </c>
      <c r="M187" s="34">
        <v>14</v>
      </c>
      <c r="N187" s="34" t="s">
        <v>827</v>
      </c>
      <c r="O187" s="22" t="str">
        <f>IF(ISNA(VLOOKUP(Table_master_data[[#This Row],[Pick]],Table2[#All],2,FALSE)),"-",VLOOKUP(Table_master_data[[#This Row],[Pick]],Table2[#All],2,FALSE))</f>
        <v>Rotiation DEF</v>
      </c>
      <c r="P187" s="22"/>
    </row>
    <row r="188" spans="2:16" x14ac:dyDescent="0.25">
      <c r="B188" s="21">
        <v>427</v>
      </c>
      <c r="C188" s="21" t="s">
        <v>712</v>
      </c>
      <c r="D188" s="21" t="s">
        <v>179</v>
      </c>
      <c r="E188" s="21" t="s">
        <v>184</v>
      </c>
      <c r="F188" s="25">
        <v>0</v>
      </c>
      <c r="G188" s="26">
        <v>5.5</v>
      </c>
      <c r="H188" s="21" t="s">
        <v>243</v>
      </c>
      <c r="I188" s="23">
        <v>1</v>
      </c>
      <c r="J188" s="24">
        <v>95.64</v>
      </c>
      <c r="K188" s="32">
        <v>13.059999999999999</v>
      </c>
      <c r="L188" s="24">
        <v>17.39</v>
      </c>
      <c r="M188" s="34"/>
      <c r="N188" s="34"/>
      <c r="O188" s="22" t="str">
        <f>IF(ISNA(VLOOKUP(Table_master_data[[#This Row],[Pick]],Table2[#All],2,FALSE)),"-",VLOOKUP(Table_master_data[[#This Row],[Pick]],Table2[#All],2,FALSE))</f>
        <v>-</v>
      </c>
      <c r="P188" s="22" t="s">
        <v>36</v>
      </c>
    </row>
    <row r="189" spans="2:16" x14ac:dyDescent="0.25">
      <c r="B189" s="21">
        <v>436</v>
      </c>
      <c r="C189" s="21" t="s">
        <v>505</v>
      </c>
      <c r="D189" s="21" t="s">
        <v>181</v>
      </c>
      <c r="E189" s="21" t="s">
        <v>193</v>
      </c>
      <c r="F189" s="25">
        <v>68</v>
      </c>
      <c r="G189" s="26">
        <v>5</v>
      </c>
      <c r="H189" s="21" t="s">
        <v>243</v>
      </c>
      <c r="I189" s="23">
        <v>1</v>
      </c>
      <c r="J189" s="24">
        <v>95.43</v>
      </c>
      <c r="K189" s="32">
        <v>12.719999999999999</v>
      </c>
      <c r="L189" s="24">
        <v>19.09</v>
      </c>
      <c r="M189" s="34"/>
      <c r="N189" s="34"/>
      <c r="O189" s="22" t="str">
        <f>IF(ISNA(VLOOKUP(Table_master_data[[#This Row],[Pick]],Table2[#All],2,FALSE)),"-",VLOOKUP(Table_master_data[[#This Row],[Pick]],Table2[#All],2,FALSE))</f>
        <v>-</v>
      </c>
      <c r="P189" s="22"/>
    </row>
    <row r="190" spans="2:16" x14ac:dyDescent="0.25">
      <c r="B190" s="21">
        <v>318</v>
      </c>
      <c r="C190" s="21" t="s">
        <v>384</v>
      </c>
      <c r="D190" s="21" t="s">
        <v>181</v>
      </c>
      <c r="E190" s="21" t="s">
        <v>189</v>
      </c>
      <c r="F190" s="25">
        <v>75</v>
      </c>
      <c r="G190" s="26">
        <v>4.5</v>
      </c>
      <c r="H190" s="21" t="s">
        <v>243</v>
      </c>
      <c r="I190" s="23">
        <v>1</v>
      </c>
      <c r="J190" s="24">
        <v>95.16</v>
      </c>
      <c r="K190" s="32">
        <v>12.680000000000001</v>
      </c>
      <c r="L190" s="24">
        <v>21.15</v>
      </c>
      <c r="M190" s="34"/>
      <c r="N190" s="34"/>
      <c r="O190" s="22" t="str">
        <f>IF(ISNA(VLOOKUP(Table_master_data[[#This Row],[Pick]],Table2[#All],2,FALSE)),"-",VLOOKUP(Table_master_data[[#This Row],[Pick]],Table2[#All],2,FALSE))</f>
        <v>-</v>
      </c>
      <c r="P190" s="22"/>
    </row>
    <row r="191" spans="2:16" x14ac:dyDescent="0.25">
      <c r="B191" s="21">
        <v>354</v>
      </c>
      <c r="C191" s="21" t="s">
        <v>680</v>
      </c>
      <c r="D191" s="21" t="s">
        <v>179</v>
      </c>
      <c r="E191" s="21" t="s">
        <v>815</v>
      </c>
      <c r="F191" s="25">
        <v>0</v>
      </c>
      <c r="G191" s="26">
        <v>5</v>
      </c>
      <c r="H191" s="21" t="s">
        <v>243</v>
      </c>
      <c r="I191" s="23">
        <v>1</v>
      </c>
      <c r="J191" s="24">
        <v>94.58</v>
      </c>
      <c r="K191" s="32">
        <v>12.56</v>
      </c>
      <c r="L191" s="24">
        <v>18.920000000000002</v>
      </c>
      <c r="M191" s="34"/>
      <c r="N191" s="34"/>
      <c r="O191" s="22" t="str">
        <f>IF(ISNA(VLOOKUP(Table_master_data[[#This Row],[Pick]],Table2[#All],2,FALSE)),"-",VLOOKUP(Table_master_data[[#This Row],[Pick]],Table2[#All],2,FALSE))</f>
        <v>-</v>
      </c>
      <c r="P191" s="22"/>
    </row>
    <row r="192" spans="2:16" x14ac:dyDescent="0.25">
      <c r="B192" s="21">
        <v>600</v>
      </c>
      <c r="C192" s="21" t="s">
        <v>165</v>
      </c>
      <c r="D192" s="21" t="s">
        <v>258</v>
      </c>
      <c r="E192" s="21" t="s">
        <v>372</v>
      </c>
      <c r="F192" s="25">
        <v>69</v>
      </c>
      <c r="G192" s="26">
        <v>4.5</v>
      </c>
      <c r="H192" s="21" t="s">
        <v>243</v>
      </c>
      <c r="I192" s="23">
        <v>1</v>
      </c>
      <c r="J192" s="24">
        <v>94.53</v>
      </c>
      <c r="K192" s="32">
        <v>14.54</v>
      </c>
      <c r="L192" s="24">
        <v>21.01</v>
      </c>
      <c r="M192" s="34">
        <v>15</v>
      </c>
      <c r="N192" s="34" t="s">
        <v>826</v>
      </c>
      <c r="O192" s="22" t="str">
        <f>IF(ISNA(VLOOKUP(Table_master_data[[#This Row],[Pick]],Table2[#All],2,FALSE)),"-",VLOOKUP(Table_master_data[[#This Row],[Pick]],Table2[#All],2,FALSE))</f>
        <v>Backup GK</v>
      </c>
      <c r="P192" s="22"/>
    </row>
    <row r="193" spans="2:16" x14ac:dyDescent="0.25">
      <c r="B193" s="21">
        <v>85</v>
      </c>
      <c r="C193" s="21" t="s">
        <v>398</v>
      </c>
      <c r="D193" s="21" t="s">
        <v>179</v>
      </c>
      <c r="E193" s="21" t="s">
        <v>190</v>
      </c>
      <c r="F193" s="25">
        <v>58</v>
      </c>
      <c r="G193" s="26">
        <v>5</v>
      </c>
      <c r="H193" s="21" t="s">
        <v>243</v>
      </c>
      <c r="I193" s="23">
        <v>1</v>
      </c>
      <c r="J193" s="24">
        <v>94.49</v>
      </c>
      <c r="K193" s="32">
        <v>14.1</v>
      </c>
      <c r="L193" s="24">
        <v>18.899999999999999</v>
      </c>
      <c r="M193" s="34"/>
      <c r="N193" s="34"/>
      <c r="O193" s="22" t="str">
        <f>IF(ISNA(VLOOKUP(Table_master_data[[#This Row],[Pick]],Table2[#All],2,FALSE)),"-",VLOOKUP(Table_master_data[[#This Row],[Pick]],Table2[#All],2,FALSE))</f>
        <v>-</v>
      </c>
      <c r="P193" s="22"/>
    </row>
    <row r="194" spans="2:16" x14ac:dyDescent="0.25">
      <c r="B194" s="21">
        <v>609</v>
      </c>
      <c r="C194" s="21" t="s">
        <v>501</v>
      </c>
      <c r="D194" s="21" t="s">
        <v>181</v>
      </c>
      <c r="E194" s="21" t="s">
        <v>372</v>
      </c>
      <c r="F194" s="25">
        <v>54</v>
      </c>
      <c r="G194" s="26">
        <v>4.5</v>
      </c>
      <c r="H194" s="21" t="s">
        <v>243</v>
      </c>
      <c r="I194" s="23">
        <v>1</v>
      </c>
      <c r="J194" s="24">
        <v>93.79</v>
      </c>
      <c r="K194" s="32">
        <v>13.37</v>
      </c>
      <c r="L194" s="24">
        <v>20.84</v>
      </c>
      <c r="M194" s="34">
        <v>14</v>
      </c>
      <c r="N194" s="34" t="s">
        <v>827</v>
      </c>
      <c r="O194" s="22" t="str">
        <f>IF(ISNA(VLOOKUP(Table_master_data[[#This Row],[Pick]],Table2[#All],2,FALSE)),"-",VLOOKUP(Table_master_data[[#This Row],[Pick]],Table2[#All],2,FALSE))</f>
        <v>Rotiation DEF</v>
      </c>
      <c r="P194" s="22"/>
    </row>
    <row r="195" spans="2:16" x14ac:dyDescent="0.25">
      <c r="B195" s="21">
        <v>126</v>
      </c>
      <c r="C195" s="21" t="s">
        <v>85</v>
      </c>
      <c r="D195" s="21" t="s">
        <v>179</v>
      </c>
      <c r="E195" s="21" t="s">
        <v>183</v>
      </c>
      <c r="F195" s="25">
        <v>38</v>
      </c>
      <c r="G195" s="26">
        <v>5</v>
      </c>
      <c r="H195" s="21" t="s">
        <v>243</v>
      </c>
      <c r="I195" s="23">
        <v>1</v>
      </c>
      <c r="J195" s="24">
        <v>93.7</v>
      </c>
      <c r="K195" s="32">
        <v>14.379999999999999</v>
      </c>
      <c r="L195" s="24">
        <v>18.739999999999998</v>
      </c>
      <c r="M195" s="34"/>
      <c r="N195" s="34"/>
      <c r="O195" s="22" t="str">
        <f>IF(ISNA(VLOOKUP(Table_master_data[[#This Row],[Pick]],Table2[#All],2,FALSE)),"-",VLOOKUP(Table_master_data[[#This Row],[Pick]],Table2[#All],2,FALSE))</f>
        <v>-</v>
      </c>
      <c r="P195" s="22"/>
    </row>
    <row r="196" spans="2:16" x14ac:dyDescent="0.25">
      <c r="B196" s="21">
        <v>489</v>
      </c>
      <c r="C196" s="21" t="s">
        <v>458</v>
      </c>
      <c r="D196" s="21" t="s">
        <v>179</v>
      </c>
      <c r="E196" s="21" t="s">
        <v>186</v>
      </c>
      <c r="F196" s="25">
        <v>159</v>
      </c>
      <c r="G196" s="26">
        <v>6.5</v>
      </c>
      <c r="H196" s="21" t="s">
        <v>243</v>
      </c>
      <c r="I196" s="23">
        <v>1</v>
      </c>
      <c r="J196" s="24">
        <v>93.42</v>
      </c>
      <c r="K196" s="32">
        <v>15.45</v>
      </c>
      <c r="L196" s="24">
        <v>14.37</v>
      </c>
      <c r="M196" s="34"/>
      <c r="N196" s="34"/>
      <c r="O196" s="22" t="str">
        <f>IF(ISNA(VLOOKUP(Table_master_data[[#This Row],[Pick]],Table2[#All],2,FALSE)),"-",VLOOKUP(Table_master_data[[#This Row],[Pick]],Table2[#All],2,FALSE))</f>
        <v>-</v>
      </c>
      <c r="P196" s="22"/>
    </row>
    <row r="197" spans="2:16" x14ac:dyDescent="0.25">
      <c r="B197" s="21">
        <v>342</v>
      </c>
      <c r="C197" s="21" t="s">
        <v>664</v>
      </c>
      <c r="D197" s="21" t="s">
        <v>181</v>
      </c>
      <c r="E197" s="21" t="s">
        <v>815</v>
      </c>
      <c r="F197" s="25">
        <v>0</v>
      </c>
      <c r="G197" s="26">
        <v>4.5</v>
      </c>
      <c r="H197" s="21" t="s">
        <v>250</v>
      </c>
      <c r="I197" s="23">
        <v>0.75</v>
      </c>
      <c r="J197" s="24">
        <v>92.03</v>
      </c>
      <c r="K197" s="32">
        <v>11.680000000000001</v>
      </c>
      <c r="L197" s="24">
        <v>20.45</v>
      </c>
      <c r="M197" s="34"/>
      <c r="N197" s="34"/>
      <c r="O197" s="22" t="str">
        <f>IF(ISNA(VLOOKUP(Table_master_data[[#This Row],[Pick]],Table2[#All],2,FALSE)),"-",VLOOKUP(Table_master_data[[#This Row],[Pick]],Table2[#All],2,FALSE))</f>
        <v>-</v>
      </c>
      <c r="P197" s="22"/>
    </row>
    <row r="198" spans="2:16" x14ac:dyDescent="0.25">
      <c r="B198" s="21">
        <v>338</v>
      </c>
      <c r="C198" s="21" t="s">
        <v>132</v>
      </c>
      <c r="D198" s="21" t="s">
        <v>178</v>
      </c>
      <c r="E198" s="21" t="s">
        <v>189</v>
      </c>
      <c r="F198" s="25">
        <v>86</v>
      </c>
      <c r="G198" s="26">
        <v>5.5</v>
      </c>
      <c r="H198" s="21" t="s">
        <v>243</v>
      </c>
      <c r="I198" s="23">
        <v>1</v>
      </c>
      <c r="J198" s="24">
        <v>91.42</v>
      </c>
      <c r="K198" s="32">
        <v>10.95</v>
      </c>
      <c r="L198" s="24">
        <v>16.62</v>
      </c>
      <c r="M198" s="34">
        <v>13</v>
      </c>
      <c r="N198" s="34"/>
      <c r="O198" s="22" t="str">
        <f>IF(ISNA(VLOOKUP(Table_master_data[[#This Row],[Pick]],Table2[#All],2,FALSE)),"-",VLOOKUP(Table_master_data[[#This Row],[Pick]],Table2[#All],2,FALSE))</f>
        <v>Rotiation FWD</v>
      </c>
      <c r="P198" s="22"/>
    </row>
    <row r="199" spans="2:16" x14ac:dyDescent="0.25">
      <c r="B199" s="21">
        <v>337</v>
      </c>
      <c r="C199" s="21" t="s">
        <v>819</v>
      </c>
      <c r="D199" s="21" t="s">
        <v>178</v>
      </c>
      <c r="E199" s="21" t="s">
        <v>189</v>
      </c>
      <c r="F199" s="25">
        <v>147</v>
      </c>
      <c r="G199" s="26">
        <v>6.5</v>
      </c>
      <c r="H199" s="21" t="s">
        <v>243</v>
      </c>
      <c r="I199" s="23">
        <v>1</v>
      </c>
      <c r="J199" s="24">
        <v>91.19</v>
      </c>
      <c r="K199" s="32">
        <v>12.770000000000001</v>
      </c>
      <c r="L199" s="24">
        <v>14.03</v>
      </c>
      <c r="M199" s="34">
        <v>7</v>
      </c>
      <c r="N199" s="34"/>
      <c r="O199" s="22" t="str">
        <f>IF(ISNA(VLOOKUP(Table_master_data[[#This Row],[Pick]],Table2[#All],2,FALSE)),"-",VLOOKUP(Table_master_data[[#This Row],[Pick]],Table2[#All],2,FALSE))</f>
        <v>Second FWD</v>
      </c>
      <c r="P199" s="22" t="s">
        <v>839</v>
      </c>
    </row>
    <row r="200" spans="2:16" x14ac:dyDescent="0.25">
      <c r="B200" s="21">
        <v>125</v>
      </c>
      <c r="C200" s="21" t="s">
        <v>55</v>
      </c>
      <c r="D200" s="21" t="s">
        <v>179</v>
      </c>
      <c r="E200" s="21" t="s">
        <v>183</v>
      </c>
      <c r="F200" s="25">
        <v>73</v>
      </c>
      <c r="G200" s="26">
        <v>5</v>
      </c>
      <c r="H200" s="21" t="s">
        <v>251</v>
      </c>
      <c r="I200" s="23">
        <v>0</v>
      </c>
      <c r="J200" s="24">
        <v>90.98</v>
      </c>
      <c r="K200" s="32">
        <v>9.11</v>
      </c>
      <c r="L200" s="24">
        <v>18.2</v>
      </c>
      <c r="M200" s="34"/>
      <c r="N200" s="34"/>
      <c r="O200" s="22" t="str">
        <f>IF(ISNA(VLOOKUP(Table_master_data[[#This Row],[Pick]],Table2[#All],2,FALSE)),"-",VLOOKUP(Table_master_data[[#This Row],[Pick]],Table2[#All],2,FALSE))</f>
        <v>-</v>
      </c>
      <c r="P200" s="22"/>
    </row>
    <row r="201" spans="2:16" x14ac:dyDescent="0.25">
      <c r="B201" s="21">
        <v>110</v>
      </c>
      <c r="C201" s="21" t="s">
        <v>519</v>
      </c>
      <c r="D201" s="21" t="s">
        <v>181</v>
      </c>
      <c r="E201" s="21" t="s">
        <v>183</v>
      </c>
      <c r="F201" s="25">
        <v>27</v>
      </c>
      <c r="G201" s="26">
        <v>4.5</v>
      </c>
      <c r="H201" s="21" t="s">
        <v>243</v>
      </c>
      <c r="I201" s="23">
        <v>1</v>
      </c>
      <c r="J201" s="24">
        <v>90.7</v>
      </c>
      <c r="K201" s="32">
        <v>12.200000000000001</v>
      </c>
      <c r="L201" s="24">
        <v>20.149999999999999</v>
      </c>
      <c r="M201" s="34"/>
      <c r="N201" s="34"/>
      <c r="O201" s="22" t="str">
        <f>IF(ISNA(VLOOKUP(Table_master_data[[#This Row],[Pick]],Table2[#All],2,FALSE)),"-",VLOOKUP(Table_master_data[[#This Row],[Pick]],Table2[#All],2,FALSE))</f>
        <v>-</v>
      </c>
      <c r="P201" s="22"/>
    </row>
    <row r="202" spans="2:16" x14ac:dyDescent="0.25">
      <c r="B202" s="21">
        <v>347</v>
      </c>
      <c r="C202" s="21" t="s">
        <v>667</v>
      </c>
      <c r="D202" s="21" t="s">
        <v>181</v>
      </c>
      <c r="E202" s="21" t="s">
        <v>815</v>
      </c>
      <c r="F202" s="25">
        <v>0</v>
      </c>
      <c r="G202" s="26">
        <v>4</v>
      </c>
      <c r="H202" s="21" t="s">
        <v>243</v>
      </c>
      <c r="I202" s="23">
        <v>1</v>
      </c>
      <c r="J202" s="24">
        <v>89.98</v>
      </c>
      <c r="K202" s="32">
        <v>12.13</v>
      </c>
      <c r="L202" s="24">
        <v>22.5</v>
      </c>
      <c r="M202" s="34"/>
      <c r="N202" s="34"/>
      <c r="O202" s="22" t="str">
        <f>IF(ISNA(VLOOKUP(Table_master_data[[#This Row],[Pick]],Table2[#All],2,FALSE)),"-",VLOOKUP(Table_master_data[[#This Row],[Pick]],Table2[#All],2,FALSE))</f>
        <v>-</v>
      </c>
      <c r="P202" s="22"/>
    </row>
    <row r="203" spans="2:16" x14ac:dyDescent="0.25">
      <c r="B203" s="21">
        <v>470</v>
      </c>
      <c r="C203" s="21" t="s">
        <v>630</v>
      </c>
      <c r="D203" s="21" t="s">
        <v>258</v>
      </c>
      <c r="E203" s="21" t="s">
        <v>508</v>
      </c>
      <c r="F203" s="25">
        <v>44</v>
      </c>
      <c r="G203" s="26">
        <v>4</v>
      </c>
      <c r="H203" s="21" t="s">
        <v>250</v>
      </c>
      <c r="I203" s="23">
        <v>0.75</v>
      </c>
      <c r="J203" s="24">
        <v>89.73</v>
      </c>
      <c r="K203" s="32">
        <v>10.050000000000001</v>
      </c>
      <c r="L203" s="24">
        <v>22.43</v>
      </c>
      <c r="M203" s="34"/>
      <c r="N203" s="34"/>
      <c r="O203" s="22" t="str">
        <f>IF(ISNA(VLOOKUP(Table_master_data[[#This Row],[Pick]],Table2[#All],2,FALSE)),"-",VLOOKUP(Table_master_data[[#This Row],[Pick]],Table2[#All],2,FALSE))</f>
        <v>-</v>
      </c>
      <c r="P203" s="22"/>
    </row>
    <row r="204" spans="2:16" x14ac:dyDescent="0.25">
      <c r="B204" s="21">
        <v>553</v>
      </c>
      <c r="C204" s="21" t="s">
        <v>783</v>
      </c>
      <c r="D204" s="21" t="s">
        <v>179</v>
      </c>
      <c r="E204" s="21" t="s">
        <v>802</v>
      </c>
      <c r="F204" s="25">
        <v>0</v>
      </c>
      <c r="G204" s="26">
        <v>5</v>
      </c>
      <c r="H204" s="21" t="s">
        <v>243</v>
      </c>
      <c r="I204" s="23">
        <v>1</v>
      </c>
      <c r="J204" s="24">
        <v>89.39</v>
      </c>
      <c r="K204" s="32">
        <v>14.010000000000002</v>
      </c>
      <c r="L204" s="24">
        <v>17.88</v>
      </c>
      <c r="M204" s="34"/>
      <c r="N204" s="34"/>
      <c r="O204" s="22" t="str">
        <f>IF(ISNA(VLOOKUP(Table_master_data[[#This Row],[Pick]],Table2[#All],2,FALSE)),"-",VLOOKUP(Table_master_data[[#This Row],[Pick]],Table2[#All],2,FALSE))</f>
        <v>-</v>
      </c>
      <c r="P204" s="22"/>
    </row>
    <row r="205" spans="2:16" x14ac:dyDescent="0.25">
      <c r="B205" s="21">
        <v>11</v>
      </c>
      <c r="C205" s="21" t="s">
        <v>47</v>
      </c>
      <c r="D205" s="21" t="s">
        <v>181</v>
      </c>
      <c r="E205" s="21" t="s">
        <v>194</v>
      </c>
      <c r="F205" s="25">
        <v>50</v>
      </c>
      <c r="G205" s="26">
        <v>5.5</v>
      </c>
      <c r="H205" s="21" t="s">
        <v>243</v>
      </c>
      <c r="I205" s="23">
        <v>1</v>
      </c>
      <c r="J205" s="24">
        <v>88.24</v>
      </c>
      <c r="K205" s="32">
        <v>11.82</v>
      </c>
      <c r="L205" s="24">
        <v>16.04</v>
      </c>
      <c r="M205" s="34"/>
      <c r="N205" s="34"/>
      <c r="O205" s="22" t="str">
        <f>IF(ISNA(VLOOKUP(Table_master_data[[#This Row],[Pick]],Table2[#All],2,FALSE)),"-",VLOOKUP(Table_master_data[[#This Row],[Pick]],Table2[#All],2,FALSE))</f>
        <v>-</v>
      </c>
      <c r="P205" s="22"/>
    </row>
    <row r="206" spans="2:16" x14ac:dyDescent="0.25">
      <c r="B206" s="21">
        <v>539</v>
      </c>
      <c r="C206" s="21" t="s">
        <v>759</v>
      </c>
      <c r="D206" s="21" t="s">
        <v>181</v>
      </c>
      <c r="E206" s="21" t="s">
        <v>802</v>
      </c>
      <c r="F206" s="25">
        <v>0</v>
      </c>
      <c r="G206" s="26">
        <v>4</v>
      </c>
      <c r="H206" s="21" t="s">
        <v>251</v>
      </c>
      <c r="I206" s="23">
        <v>0</v>
      </c>
      <c r="J206" s="24">
        <v>88.09</v>
      </c>
      <c r="K206" s="32">
        <v>6.18</v>
      </c>
      <c r="L206" s="24">
        <v>22.02</v>
      </c>
      <c r="M206" s="34"/>
      <c r="N206" s="34"/>
      <c r="O206" s="22" t="str">
        <f>IF(ISNA(VLOOKUP(Table_master_data[[#This Row],[Pick]],Table2[#All],2,FALSE)),"-",VLOOKUP(Table_master_data[[#This Row],[Pick]],Table2[#All],2,FALSE))</f>
        <v>-</v>
      </c>
      <c r="P206" s="22"/>
    </row>
    <row r="207" spans="2:16" x14ac:dyDescent="0.25">
      <c r="B207" s="21">
        <v>88</v>
      </c>
      <c r="C207" s="21" t="s">
        <v>107</v>
      </c>
      <c r="D207" s="21" t="s">
        <v>179</v>
      </c>
      <c r="E207" s="21" t="s">
        <v>190</v>
      </c>
      <c r="F207" s="25">
        <v>82</v>
      </c>
      <c r="G207" s="26">
        <v>5</v>
      </c>
      <c r="H207" s="21" t="s">
        <v>252</v>
      </c>
      <c r="I207" s="23">
        <v>0</v>
      </c>
      <c r="J207" s="24">
        <v>88</v>
      </c>
      <c r="K207" s="32">
        <v>6.8599999999999994</v>
      </c>
      <c r="L207" s="24">
        <v>17.600000000000001</v>
      </c>
      <c r="M207" s="34"/>
      <c r="N207" s="34"/>
      <c r="O207" s="22" t="str">
        <f>IF(ISNA(VLOOKUP(Table_master_data[[#This Row],[Pick]],Table2[#All],2,FALSE)),"-",VLOOKUP(Table_master_data[[#This Row],[Pick]],Table2[#All],2,FALSE))</f>
        <v>-</v>
      </c>
      <c r="P207" s="22"/>
    </row>
    <row r="208" spans="2:16" x14ac:dyDescent="0.25">
      <c r="B208" s="21">
        <v>191</v>
      </c>
      <c r="C208" s="21" t="s">
        <v>643</v>
      </c>
      <c r="D208" s="21" t="s">
        <v>181</v>
      </c>
      <c r="E208" s="21" t="s">
        <v>508</v>
      </c>
      <c r="F208" s="25">
        <v>0</v>
      </c>
      <c r="G208" s="26">
        <v>4</v>
      </c>
      <c r="H208" s="21" t="s">
        <v>243</v>
      </c>
      <c r="I208" s="23">
        <v>1</v>
      </c>
      <c r="J208" s="24">
        <v>87.68</v>
      </c>
      <c r="K208" s="32">
        <v>11.940000000000001</v>
      </c>
      <c r="L208" s="24">
        <v>21.92</v>
      </c>
      <c r="M208" s="34"/>
      <c r="N208" s="34"/>
      <c r="O208" s="22" t="str">
        <f>IF(ISNA(VLOOKUP(Table_master_data[[#This Row],[Pick]],Table2[#All],2,FALSE)),"-",VLOOKUP(Table_master_data[[#This Row],[Pick]],Table2[#All],2,FALSE))</f>
        <v>-</v>
      </c>
      <c r="P208" s="22"/>
    </row>
    <row r="209" spans="2:16" x14ac:dyDescent="0.25">
      <c r="B209" s="21">
        <v>187</v>
      </c>
      <c r="C209" s="21" t="s">
        <v>25</v>
      </c>
      <c r="D209" s="21" t="s">
        <v>181</v>
      </c>
      <c r="E209" s="21" t="s">
        <v>508</v>
      </c>
      <c r="F209" s="25">
        <v>13</v>
      </c>
      <c r="G209" s="26">
        <v>4.5</v>
      </c>
      <c r="H209" s="21" t="s">
        <v>243</v>
      </c>
      <c r="I209" s="23">
        <v>1</v>
      </c>
      <c r="J209" s="24">
        <v>86.41</v>
      </c>
      <c r="K209" s="32">
        <v>11.93</v>
      </c>
      <c r="L209" s="24">
        <v>19.2</v>
      </c>
      <c r="M209" s="34"/>
      <c r="N209" s="34"/>
      <c r="O209" s="22" t="str">
        <f>IF(ISNA(VLOOKUP(Table_master_data[[#This Row],[Pick]],Table2[#All],2,FALSE)),"-",VLOOKUP(Table_master_data[[#This Row],[Pick]],Table2[#All],2,FALSE))</f>
        <v>-</v>
      </c>
      <c r="P209" s="22"/>
    </row>
    <row r="210" spans="2:16" x14ac:dyDescent="0.25">
      <c r="B210" s="21">
        <v>190</v>
      </c>
      <c r="C210" s="21" t="s">
        <v>575</v>
      </c>
      <c r="D210" s="21" t="s">
        <v>181</v>
      </c>
      <c r="E210" s="21" t="s">
        <v>508</v>
      </c>
      <c r="F210" s="25">
        <v>0</v>
      </c>
      <c r="G210" s="26">
        <v>4</v>
      </c>
      <c r="H210" s="21" t="s">
        <v>243</v>
      </c>
      <c r="I210" s="23">
        <v>1</v>
      </c>
      <c r="J210" s="24">
        <v>86.15</v>
      </c>
      <c r="K210" s="32">
        <v>11.81</v>
      </c>
      <c r="L210" s="24">
        <v>21.54</v>
      </c>
      <c r="M210" s="34"/>
      <c r="N210" s="34"/>
      <c r="O210" s="22" t="str">
        <f>IF(ISNA(VLOOKUP(Table_master_data[[#This Row],[Pick]],Table2[#All],2,FALSE)),"-",VLOOKUP(Table_master_data[[#This Row],[Pick]],Table2[#All],2,FALSE))</f>
        <v>-</v>
      </c>
      <c r="P210" s="22"/>
    </row>
    <row r="211" spans="2:16" x14ac:dyDescent="0.25">
      <c r="B211" s="21">
        <v>270</v>
      </c>
      <c r="C211" s="21" t="s">
        <v>128</v>
      </c>
      <c r="D211" s="21" t="s">
        <v>179</v>
      </c>
      <c r="E211" s="21" t="s">
        <v>188</v>
      </c>
      <c r="F211" s="25">
        <v>67</v>
      </c>
      <c r="G211" s="26">
        <v>5</v>
      </c>
      <c r="H211" s="21" t="s">
        <v>243</v>
      </c>
      <c r="I211" s="23">
        <v>1</v>
      </c>
      <c r="J211" s="24">
        <v>86.01</v>
      </c>
      <c r="K211" s="32">
        <v>13.05</v>
      </c>
      <c r="L211" s="24">
        <v>17.2</v>
      </c>
      <c r="M211" s="34"/>
      <c r="N211" s="34"/>
      <c r="O211" s="22" t="str">
        <f>IF(ISNA(VLOOKUP(Table_master_data[[#This Row],[Pick]],Table2[#All],2,FALSE)),"-",VLOOKUP(Table_master_data[[#This Row],[Pick]],Table2[#All],2,FALSE))</f>
        <v>-</v>
      </c>
      <c r="P211" s="22"/>
    </row>
    <row r="212" spans="2:16" x14ac:dyDescent="0.25">
      <c r="B212" s="21">
        <v>41</v>
      </c>
      <c r="C212" s="21" t="s">
        <v>283</v>
      </c>
      <c r="D212" s="21" t="s">
        <v>181</v>
      </c>
      <c r="E212" s="21" t="s">
        <v>191</v>
      </c>
      <c r="F212" s="25">
        <v>55</v>
      </c>
      <c r="G212" s="26">
        <v>4.5</v>
      </c>
      <c r="H212" s="21" t="s">
        <v>243</v>
      </c>
      <c r="I212" s="23">
        <v>1</v>
      </c>
      <c r="J212" s="24">
        <v>85.25</v>
      </c>
      <c r="K212" s="32">
        <v>12.33</v>
      </c>
      <c r="L212" s="24">
        <v>18.95</v>
      </c>
      <c r="M212" s="34"/>
      <c r="N212" s="34"/>
      <c r="O212" s="22" t="str">
        <f>IF(ISNA(VLOOKUP(Table_master_data[[#This Row],[Pick]],Table2[#All],2,FALSE)),"-",VLOOKUP(Table_master_data[[#This Row],[Pick]],Table2[#All],2,FALSE))</f>
        <v>-</v>
      </c>
      <c r="P212" s="22"/>
    </row>
    <row r="213" spans="2:16" x14ac:dyDescent="0.25">
      <c r="B213" s="21">
        <v>531</v>
      </c>
      <c r="C213" s="21" t="s">
        <v>754</v>
      </c>
      <c r="D213" s="21" t="s">
        <v>181</v>
      </c>
      <c r="E213" s="21" t="s">
        <v>802</v>
      </c>
      <c r="F213" s="25">
        <v>0</v>
      </c>
      <c r="G213" s="26">
        <v>4.5</v>
      </c>
      <c r="H213" s="21" t="s">
        <v>243</v>
      </c>
      <c r="I213" s="23">
        <v>1</v>
      </c>
      <c r="J213" s="24">
        <v>84.51</v>
      </c>
      <c r="K213" s="32">
        <v>13.26</v>
      </c>
      <c r="L213" s="24">
        <v>18.78</v>
      </c>
      <c r="M213" s="34"/>
      <c r="N213" s="34"/>
      <c r="O213" s="22" t="str">
        <f>IF(ISNA(VLOOKUP(Table_master_data[[#This Row],[Pick]],Table2[#All],2,FALSE)),"-",VLOOKUP(Table_master_data[[#This Row],[Pick]],Table2[#All],2,FALSE))</f>
        <v>-</v>
      </c>
      <c r="P213" s="22"/>
    </row>
    <row r="214" spans="2:16" x14ac:dyDescent="0.25">
      <c r="B214" s="21">
        <v>332</v>
      </c>
      <c r="C214" s="21" t="s">
        <v>332</v>
      </c>
      <c r="D214" s="21" t="s">
        <v>179</v>
      </c>
      <c r="E214" s="21" t="s">
        <v>189</v>
      </c>
      <c r="F214" s="25">
        <v>56</v>
      </c>
      <c r="G214" s="26">
        <v>5</v>
      </c>
      <c r="H214" s="21" t="s">
        <v>243</v>
      </c>
      <c r="I214" s="23">
        <v>1</v>
      </c>
      <c r="J214" s="24">
        <v>84.36</v>
      </c>
      <c r="K214" s="32">
        <v>11.620000000000001</v>
      </c>
      <c r="L214" s="24">
        <v>16.87</v>
      </c>
      <c r="M214" s="34"/>
      <c r="N214" s="34"/>
      <c r="O214" s="22" t="str">
        <f>IF(ISNA(VLOOKUP(Table_master_data[[#This Row],[Pick]],Table2[#All],2,FALSE)),"-",VLOOKUP(Table_master_data[[#This Row],[Pick]],Table2[#All],2,FALSE))</f>
        <v>-</v>
      </c>
      <c r="P214" s="22"/>
    </row>
    <row r="215" spans="2:16" x14ac:dyDescent="0.25">
      <c r="B215" s="21">
        <v>648</v>
      </c>
      <c r="C215" s="21" t="s">
        <v>801</v>
      </c>
      <c r="D215" s="21" t="s">
        <v>179</v>
      </c>
      <c r="E215" s="21" t="s">
        <v>182</v>
      </c>
      <c r="F215" s="25">
        <v>50</v>
      </c>
      <c r="G215" s="26">
        <v>5.5</v>
      </c>
      <c r="H215" s="21" t="s">
        <v>243</v>
      </c>
      <c r="I215" s="23">
        <v>1</v>
      </c>
      <c r="J215" s="24">
        <v>84.29</v>
      </c>
      <c r="K215" s="32">
        <v>10.52</v>
      </c>
      <c r="L215" s="24">
        <v>15.32</v>
      </c>
      <c r="M215" s="34"/>
      <c r="N215" s="34"/>
      <c r="O215" s="22" t="str">
        <f>IF(ISNA(VLOOKUP(Table_master_data[[#This Row],[Pick]],Table2[#All],2,FALSE)),"-",VLOOKUP(Table_master_data[[#This Row],[Pick]],Table2[#All],2,FALSE))</f>
        <v>-</v>
      </c>
      <c r="P215" s="22"/>
    </row>
    <row r="216" spans="2:16" x14ac:dyDescent="0.25">
      <c r="B216" s="21">
        <v>680</v>
      </c>
      <c r="C216" s="21" t="s">
        <v>832</v>
      </c>
      <c r="D216" s="21" t="s">
        <v>178</v>
      </c>
      <c r="E216" s="21" t="s">
        <v>508</v>
      </c>
      <c r="F216" s="25">
        <v>0</v>
      </c>
      <c r="G216" s="26">
        <v>5.5</v>
      </c>
      <c r="H216" s="21" t="s">
        <v>250</v>
      </c>
      <c r="I216" s="23">
        <v>0.75</v>
      </c>
      <c r="J216" s="24">
        <v>83.79</v>
      </c>
      <c r="K216" s="32">
        <v>9.8000000000000007</v>
      </c>
      <c r="L216" s="24">
        <v>15.23</v>
      </c>
      <c r="M216" s="34"/>
      <c r="N216" s="34"/>
      <c r="O216" s="22" t="str">
        <f>IF(ISNA(VLOOKUP(Table_master_data[[#This Row],[Pick]],Table2[#All],2,FALSE)),"-",VLOOKUP(Table_master_data[[#This Row],[Pick]],Table2[#All],2,FALSE))</f>
        <v>-</v>
      </c>
      <c r="P216" s="22"/>
    </row>
    <row r="217" spans="2:16" x14ac:dyDescent="0.25">
      <c r="B217" s="21">
        <v>638</v>
      </c>
      <c r="C217" s="21" t="s">
        <v>345</v>
      </c>
      <c r="D217" s="21" t="s">
        <v>181</v>
      </c>
      <c r="E217" s="21" t="s">
        <v>182</v>
      </c>
      <c r="F217" s="25">
        <v>0</v>
      </c>
      <c r="G217" s="26">
        <v>4</v>
      </c>
      <c r="H217" s="21" t="s">
        <v>243</v>
      </c>
      <c r="I217" s="23">
        <v>1</v>
      </c>
      <c r="J217" s="24">
        <v>82.2</v>
      </c>
      <c r="K217" s="32">
        <v>10.889999999999999</v>
      </c>
      <c r="L217" s="24">
        <v>20.55</v>
      </c>
      <c r="M217" s="34"/>
      <c r="N217" s="34"/>
      <c r="O217" s="22" t="str">
        <f>IF(ISNA(VLOOKUP(Table_master_data[[#This Row],[Pick]],Table2[#All],2,FALSE)),"-",VLOOKUP(Table_master_data[[#This Row],[Pick]],Table2[#All],2,FALSE))</f>
        <v>-</v>
      </c>
      <c r="P217" s="22"/>
    </row>
    <row r="218" spans="2:16" x14ac:dyDescent="0.25">
      <c r="B218" s="21">
        <v>644</v>
      </c>
      <c r="C218" s="21" t="s">
        <v>491</v>
      </c>
      <c r="D218" s="21" t="s">
        <v>179</v>
      </c>
      <c r="E218" s="21" t="s">
        <v>182</v>
      </c>
      <c r="F218" s="25">
        <v>90</v>
      </c>
      <c r="G218" s="26">
        <v>5.5</v>
      </c>
      <c r="H218" s="21" t="s">
        <v>243</v>
      </c>
      <c r="I218" s="23">
        <v>1</v>
      </c>
      <c r="J218" s="24">
        <v>81.84</v>
      </c>
      <c r="K218" s="32">
        <v>10.220000000000001</v>
      </c>
      <c r="L218" s="24">
        <v>14.88</v>
      </c>
      <c r="M218" s="34"/>
      <c r="N218" s="34"/>
      <c r="O218" s="22" t="str">
        <f>IF(ISNA(VLOOKUP(Table_master_data[[#This Row],[Pick]],Table2[#All],2,FALSE)),"-",VLOOKUP(Table_master_data[[#This Row],[Pick]],Table2[#All],2,FALSE))</f>
        <v>-</v>
      </c>
      <c r="P218" s="22"/>
    </row>
    <row r="219" spans="2:16" x14ac:dyDescent="0.25">
      <c r="B219" s="21">
        <v>192</v>
      </c>
      <c r="C219" s="21" t="s">
        <v>642</v>
      </c>
      <c r="D219" s="21" t="s">
        <v>181</v>
      </c>
      <c r="E219" s="21" t="s">
        <v>508</v>
      </c>
      <c r="F219" s="25">
        <v>0</v>
      </c>
      <c r="G219" s="26">
        <v>4</v>
      </c>
      <c r="H219" s="21" t="s">
        <v>243</v>
      </c>
      <c r="I219" s="23">
        <v>1</v>
      </c>
      <c r="J219" s="24">
        <v>80.64</v>
      </c>
      <c r="K219" s="32">
        <v>11.14</v>
      </c>
      <c r="L219" s="24">
        <v>20.16</v>
      </c>
      <c r="M219" s="34"/>
      <c r="N219" s="34"/>
      <c r="O219" s="22" t="str">
        <f>IF(ISNA(VLOOKUP(Table_master_data[[#This Row],[Pick]],Table2[#All],2,FALSE)),"-",VLOOKUP(Table_master_data[[#This Row],[Pick]],Table2[#All],2,FALSE))</f>
        <v>-</v>
      </c>
      <c r="P219" s="22"/>
    </row>
    <row r="220" spans="2:16" x14ac:dyDescent="0.25">
      <c r="B220" s="21">
        <v>623</v>
      </c>
      <c r="C220" s="21" t="s">
        <v>793</v>
      </c>
      <c r="D220" s="21" t="s">
        <v>179</v>
      </c>
      <c r="E220" s="21" t="s">
        <v>372</v>
      </c>
      <c r="F220" s="25">
        <v>0</v>
      </c>
      <c r="G220" s="26">
        <v>4.5</v>
      </c>
      <c r="H220" s="21" t="s">
        <v>243</v>
      </c>
      <c r="I220" s="23">
        <v>1</v>
      </c>
      <c r="J220" s="24">
        <v>80.5</v>
      </c>
      <c r="K220" s="32">
        <v>13.520000000000001</v>
      </c>
      <c r="L220" s="24">
        <v>17.89</v>
      </c>
      <c r="M220" s="34"/>
      <c r="N220" s="34"/>
      <c r="O220" s="22" t="str">
        <f>IF(ISNA(VLOOKUP(Table_master_data[[#This Row],[Pick]],Table2[#All],2,FALSE)),"-",VLOOKUP(Table_master_data[[#This Row],[Pick]],Table2[#All],2,FALSE))</f>
        <v>-</v>
      </c>
      <c r="P220" s="22"/>
    </row>
    <row r="221" spans="2:16" x14ac:dyDescent="0.25">
      <c r="B221" s="21">
        <v>310</v>
      </c>
      <c r="C221" s="21" t="s">
        <v>511</v>
      </c>
      <c r="D221" s="21" t="s">
        <v>178</v>
      </c>
      <c r="E221" s="21" t="s">
        <v>185</v>
      </c>
      <c r="F221" s="25">
        <v>0</v>
      </c>
      <c r="G221" s="26">
        <v>6</v>
      </c>
      <c r="H221" s="21" t="s">
        <v>243</v>
      </c>
      <c r="I221" s="23">
        <v>1</v>
      </c>
      <c r="J221" s="24">
        <v>80.010000000000005</v>
      </c>
      <c r="K221" s="32">
        <v>10.819999999999999</v>
      </c>
      <c r="L221" s="24">
        <v>13.33</v>
      </c>
      <c r="M221" s="34">
        <v>13</v>
      </c>
      <c r="N221" s="34"/>
      <c r="O221" s="22" t="str">
        <f>IF(ISNA(VLOOKUP(Table_master_data[[#This Row],[Pick]],Table2[#All],2,FALSE)),"-",VLOOKUP(Table_master_data[[#This Row],[Pick]],Table2[#All],2,FALSE))</f>
        <v>Rotiation FWD</v>
      </c>
      <c r="P221" s="22" t="s">
        <v>841</v>
      </c>
    </row>
    <row r="222" spans="2:16" x14ac:dyDescent="0.25">
      <c r="B222" s="21">
        <v>552</v>
      </c>
      <c r="C222" s="21" t="s">
        <v>782</v>
      </c>
      <c r="D222" s="21" t="s">
        <v>179</v>
      </c>
      <c r="E222" s="21" t="s">
        <v>802</v>
      </c>
      <c r="F222" s="25">
        <v>0</v>
      </c>
      <c r="G222" s="26">
        <v>5</v>
      </c>
      <c r="H222" s="21" t="s">
        <v>243</v>
      </c>
      <c r="I222" s="23">
        <v>1</v>
      </c>
      <c r="J222" s="24">
        <v>79.97</v>
      </c>
      <c r="K222" s="32">
        <v>13.740000000000002</v>
      </c>
      <c r="L222" s="24">
        <v>15.99</v>
      </c>
      <c r="M222" s="34"/>
      <c r="N222" s="34"/>
      <c r="O222" s="22" t="str">
        <f>IF(ISNA(VLOOKUP(Table_master_data[[#This Row],[Pick]],Table2[#All],2,FALSE)),"-",VLOOKUP(Table_master_data[[#This Row],[Pick]],Table2[#All],2,FALSE))</f>
        <v>-</v>
      </c>
      <c r="P222" s="22"/>
    </row>
    <row r="223" spans="2:16" x14ac:dyDescent="0.25">
      <c r="B223" s="21">
        <v>39</v>
      </c>
      <c r="C223" s="21" t="s">
        <v>383</v>
      </c>
      <c r="D223" s="21" t="s">
        <v>181</v>
      </c>
      <c r="E223" s="21" t="s">
        <v>191</v>
      </c>
      <c r="F223" s="25">
        <v>57</v>
      </c>
      <c r="G223" s="26">
        <v>4.5</v>
      </c>
      <c r="H223" s="21" t="s">
        <v>243</v>
      </c>
      <c r="I223" s="23">
        <v>1</v>
      </c>
      <c r="J223" s="24">
        <v>78.489999999999995</v>
      </c>
      <c r="K223" s="32">
        <v>11.719999999999999</v>
      </c>
      <c r="L223" s="24">
        <v>17.440000000000001</v>
      </c>
      <c r="M223" s="34"/>
      <c r="N223" s="34"/>
      <c r="O223" s="22" t="str">
        <f>IF(ISNA(VLOOKUP(Table_master_data[[#This Row],[Pick]],Table2[#All],2,FALSE)),"-",VLOOKUP(Table_master_data[[#This Row],[Pick]],Table2[#All],2,FALSE))</f>
        <v>-</v>
      </c>
      <c r="P223" s="22" t="s">
        <v>36</v>
      </c>
    </row>
    <row r="224" spans="2:16" x14ac:dyDescent="0.25">
      <c r="B224" s="21">
        <v>311</v>
      </c>
      <c r="C224" s="21" t="s">
        <v>426</v>
      </c>
      <c r="D224" s="21" t="s">
        <v>178</v>
      </c>
      <c r="E224" s="21" t="s">
        <v>185</v>
      </c>
      <c r="F224" s="25">
        <v>87</v>
      </c>
      <c r="G224" s="26">
        <v>5.5</v>
      </c>
      <c r="H224" s="21" t="s">
        <v>243</v>
      </c>
      <c r="I224" s="23">
        <v>1</v>
      </c>
      <c r="J224" s="24">
        <v>78.16</v>
      </c>
      <c r="K224" s="32">
        <v>9.2100000000000009</v>
      </c>
      <c r="L224" s="24">
        <v>14.21</v>
      </c>
      <c r="M224" s="34">
        <v>13</v>
      </c>
      <c r="N224" s="34"/>
      <c r="O224" s="22" t="str">
        <f>IF(ISNA(VLOOKUP(Table_master_data[[#This Row],[Pick]],Table2[#All],2,FALSE)),"-",VLOOKUP(Table_master_data[[#This Row],[Pick]],Table2[#All],2,FALSE))</f>
        <v>Rotiation FWD</v>
      </c>
      <c r="P224" s="22" t="s">
        <v>837</v>
      </c>
    </row>
    <row r="225" spans="2:16" x14ac:dyDescent="0.25">
      <c r="B225" s="21">
        <v>522</v>
      </c>
      <c r="C225" s="21" t="s">
        <v>112</v>
      </c>
      <c r="D225" s="21" t="s">
        <v>179</v>
      </c>
      <c r="E225" s="21" t="s">
        <v>374</v>
      </c>
      <c r="F225" s="25">
        <v>67</v>
      </c>
      <c r="G225" s="26">
        <v>5</v>
      </c>
      <c r="H225" s="21" t="s">
        <v>243</v>
      </c>
      <c r="I225" s="23">
        <v>1</v>
      </c>
      <c r="J225" s="24">
        <v>76.95</v>
      </c>
      <c r="K225" s="32">
        <v>12.2</v>
      </c>
      <c r="L225" s="24">
        <v>15.39</v>
      </c>
      <c r="M225" s="34"/>
      <c r="N225" s="34"/>
      <c r="O225" s="22" t="str">
        <f>IF(ISNA(VLOOKUP(Table_master_data[[#This Row],[Pick]],Table2[#All],2,FALSE)),"-",VLOOKUP(Table_master_data[[#This Row],[Pick]],Table2[#All],2,FALSE))</f>
        <v>-</v>
      </c>
      <c r="P225" s="22"/>
    </row>
    <row r="226" spans="2:16" x14ac:dyDescent="0.25">
      <c r="B226" s="21">
        <v>109</v>
      </c>
      <c r="C226" s="21" t="s">
        <v>75</v>
      </c>
      <c r="D226" s="21" t="s">
        <v>181</v>
      </c>
      <c r="E226" s="21" t="s">
        <v>183</v>
      </c>
      <c r="F226" s="25">
        <v>4</v>
      </c>
      <c r="G226" s="26">
        <v>4.5</v>
      </c>
      <c r="H226" s="21" t="s">
        <v>243</v>
      </c>
      <c r="I226" s="23">
        <v>1</v>
      </c>
      <c r="J226" s="24">
        <v>76.61</v>
      </c>
      <c r="K226" s="32">
        <v>10.58</v>
      </c>
      <c r="L226" s="24">
        <v>17.02</v>
      </c>
      <c r="M226" s="34"/>
      <c r="N226" s="34"/>
      <c r="O226" s="22" t="str">
        <f>IF(ISNA(VLOOKUP(Table_master_data[[#This Row],[Pick]],Table2[#All],2,FALSE)),"-",VLOOKUP(Table_master_data[[#This Row],[Pick]],Table2[#All],2,FALSE))</f>
        <v>-</v>
      </c>
      <c r="P226" s="22"/>
    </row>
    <row r="227" spans="2:16" x14ac:dyDescent="0.25">
      <c r="B227" s="21">
        <v>561</v>
      </c>
      <c r="C227" s="21" t="s">
        <v>766</v>
      </c>
      <c r="D227" s="21" t="s">
        <v>178</v>
      </c>
      <c r="E227" s="21" t="s">
        <v>802</v>
      </c>
      <c r="F227" s="25">
        <v>0</v>
      </c>
      <c r="G227" s="26">
        <v>5.5</v>
      </c>
      <c r="H227" s="21" t="s">
        <v>243</v>
      </c>
      <c r="I227" s="23">
        <v>1</v>
      </c>
      <c r="J227" s="24">
        <v>76.28</v>
      </c>
      <c r="K227" s="32">
        <v>13.329999999999998</v>
      </c>
      <c r="L227" s="24">
        <v>13.87</v>
      </c>
      <c r="M227" s="34">
        <v>13</v>
      </c>
      <c r="N227" s="34"/>
      <c r="O227" s="22" t="str">
        <f>IF(ISNA(VLOOKUP(Table_master_data[[#This Row],[Pick]],Table2[#All],2,FALSE)),"-",VLOOKUP(Table_master_data[[#This Row],[Pick]],Table2[#All],2,FALSE))</f>
        <v>Rotiation FWD</v>
      </c>
      <c r="P227" s="22"/>
    </row>
    <row r="228" spans="2:16" x14ac:dyDescent="0.25">
      <c r="B228" s="21">
        <v>358</v>
      </c>
      <c r="C228" s="21" t="s">
        <v>689</v>
      </c>
      <c r="D228" s="21" t="s">
        <v>179</v>
      </c>
      <c r="E228" s="21" t="s">
        <v>815</v>
      </c>
      <c r="F228" s="25">
        <v>0</v>
      </c>
      <c r="G228" s="26">
        <v>5</v>
      </c>
      <c r="H228" s="21" t="s">
        <v>243</v>
      </c>
      <c r="I228" s="23">
        <v>1</v>
      </c>
      <c r="J228" s="24">
        <v>75.3</v>
      </c>
      <c r="K228" s="32">
        <v>12.169999999999998</v>
      </c>
      <c r="L228" s="24">
        <v>15.06</v>
      </c>
      <c r="M228" s="34"/>
      <c r="N228" s="34"/>
      <c r="O228" s="22" t="str">
        <f>IF(ISNA(VLOOKUP(Table_master_data[[#This Row],[Pick]],Table2[#All],2,FALSE)),"-",VLOOKUP(Table_master_data[[#This Row],[Pick]],Table2[#All],2,FALSE))</f>
        <v>-</v>
      </c>
      <c r="P228" s="22"/>
    </row>
    <row r="229" spans="2:16" x14ac:dyDescent="0.25">
      <c r="B229" s="21">
        <v>335</v>
      </c>
      <c r="C229" s="21" t="s">
        <v>344</v>
      </c>
      <c r="D229" s="21" t="s">
        <v>179</v>
      </c>
      <c r="E229" s="21" t="s">
        <v>189</v>
      </c>
      <c r="F229" s="25">
        <v>10</v>
      </c>
      <c r="G229" s="26">
        <v>4.5</v>
      </c>
      <c r="H229" s="21" t="s">
        <v>243</v>
      </c>
      <c r="I229" s="23">
        <v>1</v>
      </c>
      <c r="J229" s="24">
        <v>73.260000000000005</v>
      </c>
      <c r="K229" s="32">
        <v>11.22</v>
      </c>
      <c r="L229" s="24">
        <v>16.28</v>
      </c>
      <c r="M229" s="34"/>
      <c r="N229" s="34"/>
      <c r="O229" s="22" t="str">
        <f>IF(ISNA(VLOOKUP(Table_master_data[[#This Row],[Pick]],Table2[#All],2,FALSE)),"-",VLOOKUP(Table_master_data[[#This Row],[Pick]],Table2[#All],2,FALSE))</f>
        <v>-</v>
      </c>
      <c r="P229" s="22"/>
    </row>
    <row r="230" spans="2:16" x14ac:dyDescent="0.25">
      <c r="B230" s="21">
        <v>49</v>
      </c>
      <c r="C230" s="21" t="s">
        <v>69</v>
      </c>
      <c r="D230" s="21" t="s">
        <v>179</v>
      </c>
      <c r="E230" s="21" t="s">
        <v>191</v>
      </c>
      <c r="F230" s="25">
        <v>47</v>
      </c>
      <c r="G230" s="26">
        <v>5.5</v>
      </c>
      <c r="H230" s="21" t="s">
        <v>243</v>
      </c>
      <c r="I230" s="23">
        <v>1</v>
      </c>
      <c r="J230" s="24">
        <v>72.760000000000005</v>
      </c>
      <c r="K230" s="32">
        <v>12.09</v>
      </c>
      <c r="L230" s="24">
        <v>13.23</v>
      </c>
      <c r="M230" s="34"/>
      <c r="N230" s="34"/>
      <c r="O230" s="22" t="str">
        <f>IF(ISNA(VLOOKUP(Table_master_data[[#This Row],[Pick]],Table2[#All],2,FALSE)),"-",VLOOKUP(Table_master_data[[#This Row],[Pick]],Table2[#All],2,FALSE))</f>
        <v>-</v>
      </c>
      <c r="P230" s="22"/>
    </row>
    <row r="231" spans="2:16" x14ac:dyDescent="0.25">
      <c r="B231" s="21">
        <v>632</v>
      </c>
      <c r="C231" s="21" t="s">
        <v>45</v>
      </c>
      <c r="D231" s="21" t="s">
        <v>181</v>
      </c>
      <c r="E231" s="21" t="s">
        <v>182</v>
      </c>
      <c r="F231" s="25">
        <v>75</v>
      </c>
      <c r="G231" s="26">
        <v>4.5</v>
      </c>
      <c r="H231" s="21" t="s">
        <v>243</v>
      </c>
      <c r="I231" s="23">
        <v>1</v>
      </c>
      <c r="J231" s="24">
        <v>72.62</v>
      </c>
      <c r="K231" s="32">
        <v>12.41</v>
      </c>
      <c r="L231" s="24">
        <v>16.14</v>
      </c>
      <c r="M231" s="34"/>
      <c r="N231" s="34"/>
      <c r="O231" s="22" t="str">
        <f>IF(ISNA(VLOOKUP(Table_master_data[[#This Row],[Pick]],Table2[#All],2,FALSE)),"-",VLOOKUP(Table_master_data[[#This Row],[Pick]],Table2[#All],2,FALSE))</f>
        <v>-</v>
      </c>
      <c r="P231" s="22"/>
    </row>
    <row r="232" spans="2:16" x14ac:dyDescent="0.25">
      <c r="B232" s="21">
        <v>437</v>
      </c>
      <c r="C232" s="21" t="s">
        <v>22</v>
      </c>
      <c r="D232" s="21" t="s">
        <v>181</v>
      </c>
      <c r="E232" s="21" t="s">
        <v>193</v>
      </c>
      <c r="F232" s="25">
        <v>68</v>
      </c>
      <c r="G232" s="26">
        <v>5</v>
      </c>
      <c r="H232" s="21" t="s">
        <v>251</v>
      </c>
      <c r="I232" s="23">
        <v>0</v>
      </c>
      <c r="J232" s="24">
        <v>71.930000000000007</v>
      </c>
      <c r="K232" s="32">
        <v>0</v>
      </c>
      <c r="L232" s="24">
        <v>14.39</v>
      </c>
      <c r="M232" s="34"/>
      <c r="N232" s="34"/>
      <c r="O232" s="22" t="str">
        <f>IF(ISNA(VLOOKUP(Table_master_data[[#This Row],[Pick]],Table2[#All],2,FALSE)),"-",VLOOKUP(Table_master_data[[#This Row],[Pick]],Table2[#All],2,FALSE))</f>
        <v>-</v>
      </c>
      <c r="P232" s="22"/>
    </row>
    <row r="233" spans="2:16" x14ac:dyDescent="0.25">
      <c r="B233" s="21">
        <v>420</v>
      </c>
      <c r="C233" s="21" t="s">
        <v>824</v>
      </c>
      <c r="D233" s="21" t="s">
        <v>179</v>
      </c>
      <c r="E233" s="21" t="s">
        <v>184</v>
      </c>
      <c r="F233" s="25">
        <v>97</v>
      </c>
      <c r="G233" s="26">
        <v>6.5</v>
      </c>
      <c r="H233" s="21" t="s">
        <v>243</v>
      </c>
      <c r="I233" s="23">
        <v>1</v>
      </c>
      <c r="J233" s="24">
        <v>71.430000000000007</v>
      </c>
      <c r="K233" s="32">
        <v>11.9</v>
      </c>
      <c r="L233" s="24">
        <v>10.99</v>
      </c>
      <c r="M233" s="34"/>
      <c r="N233" s="34"/>
      <c r="O233" s="22" t="str">
        <f>IF(ISNA(VLOOKUP(Table_master_data[[#This Row],[Pick]],Table2[#All],2,FALSE)),"-",VLOOKUP(Table_master_data[[#This Row],[Pick]],Table2[#All],2,FALSE))</f>
        <v>-</v>
      </c>
      <c r="P233" s="22"/>
    </row>
    <row r="234" spans="2:16" x14ac:dyDescent="0.25">
      <c r="B234" s="21">
        <v>146</v>
      </c>
      <c r="C234" s="21" t="s">
        <v>57</v>
      </c>
      <c r="D234" s="21" t="s">
        <v>181</v>
      </c>
      <c r="E234" s="21" t="s">
        <v>373</v>
      </c>
      <c r="F234" s="25">
        <v>44</v>
      </c>
      <c r="G234" s="26">
        <v>4.5</v>
      </c>
      <c r="H234" s="21" t="s">
        <v>243</v>
      </c>
      <c r="I234" s="23">
        <v>1</v>
      </c>
      <c r="J234" s="24">
        <v>71.33</v>
      </c>
      <c r="K234" s="32">
        <v>11.509999999999998</v>
      </c>
      <c r="L234" s="24">
        <v>15.85</v>
      </c>
      <c r="M234" s="34"/>
      <c r="N234" s="34"/>
      <c r="O234" s="22" t="str">
        <f>IF(ISNA(VLOOKUP(Table_master_data[[#This Row],[Pick]],Table2[#All],2,FALSE)),"-",VLOOKUP(Table_master_data[[#This Row],[Pick]],Table2[#All],2,FALSE))</f>
        <v>-</v>
      </c>
      <c r="P234" s="22"/>
    </row>
    <row r="235" spans="2:16" x14ac:dyDescent="0.25">
      <c r="B235" s="21">
        <v>73</v>
      </c>
      <c r="C235" s="21" t="s">
        <v>115</v>
      </c>
      <c r="D235" s="21" t="s">
        <v>181</v>
      </c>
      <c r="E235" s="21" t="s">
        <v>190</v>
      </c>
      <c r="F235" s="25">
        <v>57</v>
      </c>
      <c r="G235" s="26">
        <v>4.5</v>
      </c>
      <c r="H235" s="21" t="s">
        <v>243</v>
      </c>
      <c r="I235" s="23">
        <v>1</v>
      </c>
      <c r="J235" s="24">
        <v>71.19</v>
      </c>
      <c r="K235" s="32">
        <v>8.92</v>
      </c>
      <c r="L235" s="24">
        <v>15.82</v>
      </c>
      <c r="M235" s="34"/>
      <c r="N235" s="34"/>
      <c r="O235" s="22" t="str">
        <f>IF(ISNA(VLOOKUP(Table_master_data[[#This Row],[Pick]],Table2[#All],2,FALSE)),"-",VLOOKUP(Table_master_data[[#This Row],[Pick]],Table2[#All],2,FALSE))</f>
        <v>-</v>
      </c>
      <c r="P235" s="22"/>
    </row>
    <row r="236" spans="2:16" x14ac:dyDescent="0.25">
      <c r="B236" s="21">
        <v>226</v>
      </c>
      <c r="C236" s="21" t="s">
        <v>121</v>
      </c>
      <c r="D236" s="21" t="s">
        <v>181</v>
      </c>
      <c r="E236" s="21" t="s">
        <v>187</v>
      </c>
      <c r="F236" s="25">
        <v>93</v>
      </c>
      <c r="G236" s="26">
        <v>5</v>
      </c>
      <c r="H236" s="21" t="s">
        <v>243</v>
      </c>
      <c r="I236" s="23">
        <v>1</v>
      </c>
      <c r="J236" s="24">
        <v>69.239999999999995</v>
      </c>
      <c r="K236" s="32">
        <v>9.6100000000000012</v>
      </c>
      <c r="L236" s="24">
        <v>13.85</v>
      </c>
      <c r="M236" s="34">
        <v>10</v>
      </c>
      <c r="N236" s="34" t="s">
        <v>830</v>
      </c>
      <c r="O236" s="22" t="str">
        <f>IF(ISNA(VLOOKUP(Table_master_data[[#This Row],[Pick]],Table2[#All],2,FALSE)),"-",VLOOKUP(Table_master_data[[#This Row],[Pick]],Table2[#All],2,FALSE))</f>
        <v>Solid DEF</v>
      </c>
      <c r="P236" s="22"/>
    </row>
    <row r="237" spans="2:16" x14ac:dyDescent="0.25">
      <c r="B237" s="21">
        <v>586</v>
      </c>
      <c r="C237" s="21" t="s">
        <v>475</v>
      </c>
      <c r="D237" s="21" t="s">
        <v>179</v>
      </c>
      <c r="E237" s="21" t="s">
        <v>192</v>
      </c>
      <c r="F237" s="25">
        <v>44</v>
      </c>
      <c r="G237" s="26">
        <v>5.5</v>
      </c>
      <c r="H237" s="21" t="s">
        <v>243</v>
      </c>
      <c r="I237" s="23">
        <v>1</v>
      </c>
      <c r="J237" s="24">
        <v>69.239999999999995</v>
      </c>
      <c r="K237" s="32">
        <v>9.3699999999999992</v>
      </c>
      <c r="L237" s="24">
        <v>12.59</v>
      </c>
      <c r="M237" s="34"/>
      <c r="N237" s="34"/>
      <c r="O237" s="22" t="str">
        <f>IF(ISNA(VLOOKUP(Table_master_data[[#This Row],[Pick]],Table2[#All],2,FALSE)),"-",VLOOKUP(Table_master_data[[#This Row],[Pick]],Table2[#All],2,FALSE))</f>
        <v>-</v>
      </c>
      <c r="P237" s="22"/>
    </row>
    <row r="238" spans="2:16" x14ac:dyDescent="0.25">
      <c r="B238" s="21">
        <v>53</v>
      </c>
      <c r="C238" s="21" t="s">
        <v>625</v>
      </c>
      <c r="D238" s="21" t="s">
        <v>179</v>
      </c>
      <c r="E238" s="21" t="s">
        <v>191</v>
      </c>
      <c r="F238" s="25">
        <v>34</v>
      </c>
      <c r="G238" s="26">
        <v>5.5</v>
      </c>
      <c r="H238" s="21" t="s">
        <v>243</v>
      </c>
      <c r="I238" s="23">
        <v>1</v>
      </c>
      <c r="J238" s="24">
        <v>68.790000000000006</v>
      </c>
      <c r="K238" s="32">
        <v>9.08</v>
      </c>
      <c r="L238" s="24">
        <v>12.51</v>
      </c>
      <c r="M238" s="34"/>
      <c r="N238" s="34"/>
      <c r="O238" s="22" t="str">
        <f>IF(ISNA(VLOOKUP(Table_master_data[[#This Row],[Pick]],Table2[#All],2,FALSE)),"-",VLOOKUP(Table_master_data[[#This Row],[Pick]],Table2[#All],2,FALSE))</f>
        <v>-</v>
      </c>
      <c r="P238" s="22" t="s">
        <v>837</v>
      </c>
    </row>
    <row r="239" spans="2:16" x14ac:dyDescent="0.25">
      <c r="B239" s="21">
        <v>642</v>
      </c>
      <c r="C239" s="21" t="s">
        <v>315</v>
      </c>
      <c r="D239" s="21" t="s">
        <v>179</v>
      </c>
      <c r="E239" s="21" t="s">
        <v>182</v>
      </c>
      <c r="F239" s="25">
        <v>37</v>
      </c>
      <c r="G239" s="26">
        <v>6</v>
      </c>
      <c r="H239" s="21" t="s">
        <v>243</v>
      </c>
      <c r="I239" s="23">
        <v>1</v>
      </c>
      <c r="J239" s="24">
        <v>68.290000000000006</v>
      </c>
      <c r="K239" s="32">
        <v>8.2899999999999991</v>
      </c>
      <c r="L239" s="24">
        <v>11.38</v>
      </c>
      <c r="M239" s="34"/>
      <c r="N239" s="34"/>
      <c r="O239" s="22" t="str">
        <f>IF(ISNA(VLOOKUP(Table_master_data[[#This Row],[Pick]],Table2[#All],2,FALSE)),"-",VLOOKUP(Table_master_data[[#This Row],[Pick]],Table2[#All],2,FALSE))</f>
        <v>-</v>
      </c>
      <c r="P239" s="22"/>
    </row>
    <row r="240" spans="2:16" x14ac:dyDescent="0.25">
      <c r="B240" s="21">
        <v>519</v>
      </c>
      <c r="C240" s="21" t="s">
        <v>465</v>
      </c>
      <c r="D240" s="21" t="s">
        <v>179</v>
      </c>
      <c r="E240" s="21" t="s">
        <v>374</v>
      </c>
      <c r="F240" s="25">
        <v>54</v>
      </c>
      <c r="G240" s="26">
        <v>5</v>
      </c>
      <c r="H240" s="21" t="s">
        <v>251</v>
      </c>
      <c r="I240" s="23">
        <v>0</v>
      </c>
      <c r="J240" s="24">
        <v>68.010000000000005</v>
      </c>
      <c r="K240" s="32">
        <v>0.95</v>
      </c>
      <c r="L240" s="24">
        <v>13.6</v>
      </c>
      <c r="M240" s="34"/>
      <c r="N240" s="34"/>
      <c r="O240" s="22" t="str">
        <f>IF(ISNA(VLOOKUP(Table_master_data[[#This Row],[Pick]],Table2[#All],2,FALSE)),"-",VLOOKUP(Table_master_data[[#This Row],[Pick]],Table2[#All],2,FALSE))</f>
        <v>-</v>
      </c>
      <c r="P240" s="22"/>
    </row>
    <row r="241" spans="2:16" x14ac:dyDescent="0.25">
      <c r="B241" s="21">
        <v>232</v>
      </c>
      <c r="C241" s="21" t="s">
        <v>98</v>
      </c>
      <c r="D241" s="21" t="s">
        <v>181</v>
      </c>
      <c r="E241" s="21" t="s">
        <v>187</v>
      </c>
      <c r="F241" s="25">
        <v>71</v>
      </c>
      <c r="G241" s="26">
        <v>4.5</v>
      </c>
      <c r="H241" s="21" t="s">
        <v>243</v>
      </c>
      <c r="I241" s="23">
        <v>1</v>
      </c>
      <c r="J241" s="24">
        <v>67.95</v>
      </c>
      <c r="K241" s="32">
        <v>14.02</v>
      </c>
      <c r="L241" s="24">
        <v>15.1</v>
      </c>
      <c r="M241" s="34"/>
      <c r="N241" s="34"/>
      <c r="O241" s="22" t="str">
        <f>IF(ISNA(VLOOKUP(Table_master_data[[#This Row],[Pick]],Table2[#All],2,FALSE)),"-",VLOOKUP(Table_master_data[[#This Row],[Pick]],Table2[#All],2,FALSE))</f>
        <v>-</v>
      </c>
      <c r="P241" s="22"/>
    </row>
    <row r="242" spans="2:16" x14ac:dyDescent="0.25">
      <c r="B242" s="21">
        <v>532</v>
      </c>
      <c r="C242" s="21" t="s">
        <v>758</v>
      </c>
      <c r="D242" s="21" t="s">
        <v>181</v>
      </c>
      <c r="E242" s="21" t="s">
        <v>802</v>
      </c>
      <c r="F242" s="25">
        <v>0</v>
      </c>
      <c r="G242" s="26">
        <v>4.5</v>
      </c>
      <c r="H242" s="21" t="s">
        <v>243</v>
      </c>
      <c r="I242" s="23">
        <v>1</v>
      </c>
      <c r="J242" s="24">
        <v>67.819999999999993</v>
      </c>
      <c r="K242" s="32">
        <v>11.5</v>
      </c>
      <c r="L242" s="24">
        <v>15.07</v>
      </c>
      <c r="M242" s="34"/>
      <c r="N242" s="34"/>
      <c r="O242" s="22" t="str">
        <f>IF(ISNA(VLOOKUP(Table_master_data[[#This Row],[Pick]],Table2[#All],2,FALSE)),"-",VLOOKUP(Table_master_data[[#This Row],[Pick]],Table2[#All],2,FALSE))</f>
        <v>-</v>
      </c>
      <c r="P242" s="22"/>
    </row>
    <row r="243" spans="2:16" x14ac:dyDescent="0.25">
      <c r="B243" s="21">
        <v>388</v>
      </c>
      <c r="C243" s="21" t="s">
        <v>698</v>
      </c>
      <c r="D243" s="21" t="s">
        <v>179</v>
      </c>
      <c r="E243" s="21" t="s">
        <v>180</v>
      </c>
      <c r="F243" s="25">
        <v>87</v>
      </c>
      <c r="G243" s="26">
        <v>5.5</v>
      </c>
      <c r="H243" s="21" t="s">
        <v>243</v>
      </c>
      <c r="I243" s="23">
        <v>1</v>
      </c>
      <c r="J243" s="24">
        <v>67.709999999999994</v>
      </c>
      <c r="K243" s="32">
        <v>12.25</v>
      </c>
      <c r="L243" s="24">
        <v>12.31</v>
      </c>
      <c r="M243" s="34"/>
      <c r="N243" s="34"/>
      <c r="O243" s="22" t="str">
        <f>IF(ISNA(VLOOKUP(Table_master_data[[#This Row],[Pick]],Table2[#All],2,FALSE)),"-",VLOOKUP(Table_master_data[[#This Row],[Pick]],Table2[#All],2,FALSE))</f>
        <v>-</v>
      </c>
      <c r="P243" s="22"/>
    </row>
    <row r="244" spans="2:16" x14ac:dyDescent="0.25">
      <c r="B244" s="21">
        <v>37</v>
      </c>
      <c r="C244" s="21" t="s">
        <v>44</v>
      </c>
      <c r="D244" s="21" t="s">
        <v>181</v>
      </c>
      <c r="E244" s="21" t="s">
        <v>191</v>
      </c>
      <c r="F244" s="25">
        <v>89</v>
      </c>
      <c r="G244" s="26">
        <v>4.5</v>
      </c>
      <c r="H244" s="21" t="s">
        <v>243</v>
      </c>
      <c r="I244" s="23">
        <v>1</v>
      </c>
      <c r="J244" s="24">
        <v>67.489999999999995</v>
      </c>
      <c r="K244" s="32">
        <v>8.43</v>
      </c>
      <c r="L244" s="24">
        <v>15</v>
      </c>
      <c r="M244" s="34"/>
      <c r="N244" s="34"/>
      <c r="O244" s="22" t="str">
        <f>IF(ISNA(VLOOKUP(Table_master_data[[#This Row],[Pick]],Table2[#All],2,FALSE)),"-",VLOOKUP(Table_master_data[[#This Row],[Pick]],Table2[#All],2,FALSE))</f>
        <v>-</v>
      </c>
      <c r="P244" s="22"/>
    </row>
    <row r="245" spans="2:16" x14ac:dyDescent="0.25">
      <c r="B245" s="21">
        <v>573</v>
      </c>
      <c r="C245" s="21" t="s">
        <v>131</v>
      </c>
      <c r="D245" s="21" t="s">
        <v>181</v>
      </c>
      <c r="E245" s="21" t="s">
        <v>192</v>
      </c>
      <c r="F245" s="25">
        <v>51</v>
      </c>
      <c r="G245" s="26">
        <v>4.5</v>
      </c>
      <c r="H245" s="21" t="s">
        <v>243</v>
      </c>
      <c r="I245" s="23">
        <v>1</v>
      </c>
      <c r="J245" s="24">
        <v>67.42</v>
      </c>
      <c r="K245" s="32">
        <v>11.790000000000001</v>
      </c>
      <c r="L245" s="24">
        <v>14.98</v>
      </c>
      <c r="M245" s="34"/>
      <c r="N245" s="34"/>
      <c r="O245" s="22" t="str">
        <f>IF(ISNA(VLOOKUP(Table_master_data[[#This Row],[Pick]],Table2[#All],2,FALSE)),"-",VLOOKUP(Table_master_data[[#This Row],[Pick]],Table2[#All],2,FALSE))</f>
        <v>-</v>
      </c>
      <c r="P245" s="22"/>
    </row>
    <row r="246" spans="2:16" x14ac:dyDescent="0.25">
      <c r="B246" s="21">
        <v>493</v>
      </c>
      <c r="C246" s="21" t="s">
        <v>361</v>
      </c>
      <c r="D246" s="21" t="s">
        <v>179</v>
      </c>
      <c r="E246" s="21" t="s">
        <v>815</v>
      </c>
      <c r="F246" s="25">
        <v>34</v>
      </c>
      <c r="G246" s="26">
        <v>5</v>
      </c>
      <c r="H246" s="21" t="s">
        <v>243</v>
      </c>
      <c r="I246" s="23">
        <v>1</v>
      </c>
      <c r="J246" s="24">
        <v>67.17</v>
      </c>
      <c r="K246" s="32">
        <v>7.4399999999999995</v>
      </c>
      <c r="L246" s="24">
        <v>13.43</v>
      </c>
      <c r="M246" s="34"/>
      <c r="N246" s="34"/>
      <c r="O246" s="22" t="str">
        <f>IF(ISNA(VLOOKUP(Table_master_data[[#This Row],[Pick]],Table2[#All],2,FALSE)),"-",VLOOKUP(Table_master_data[[#This Row],[Pick]],Table2[#All],2,FALSE))</f>
        <v>-</v>
      </c>
      <c r="P246" s="22"/>
    </row>
    <row r="247" spans="2:16" x14ac:dyDescent="0.25">
      <c r="B247" s="21">
        <v>52</v>
      </c>
      <c r="C247" s="21" t="s">
        <v>535</v>
      </c>
      <c r="D247" s="21" t="s">
        <v>179</v>
      </c>
      <c r="E247" s="21" t="s">
        <v>191</v>
      </c>
      <c r="F247" s="25">
        <v>66</v>
      </c>
      <c r="G247" s="26">
        <v>5.5</v>
      </c>
      <c r="H247" s="21" t="s">
        <v>243</v>
      </c>
      <c r="I247" s="23">
        <v>1</v>
      </c>
      <c r="J247" s="24">
        <v>66.900000000000006</v>
      </c>
      <c r="K247" s="32">
        <v>9.76</v>
      </c>
      <c r="L247" s="24">
        <v>12.16</v>
      </c>
      <c r="M247" s="34"/>
      <c r="N247" s="34"/>
      <c r="O247" s="22" t="str">
        <f>IF(ISNA(VLOOKUP(Table_master_data[[#This Row],[Pick]],Table2[#All],2,FALSE)),"-",VLOOKUP(Table_master_data[[#This Row],[Pick]],Table2[#All],2,FALSE))</f>
        <v>-</v>
      </c>
      <c r="P247" s="22"/>
    </row>
    <row r="248" spans="2:16" x14ac:dyDescent="0.25">
      <c r="B248" s="21">
        <v>541</v>
      </c>
      <c r="C248" s="21" t="s">
        <v>761</v>
      </c>
      <c r="D248" s="21" t="s">
        <v>181</v>
      </c>
      <c r="E248" s="21" t="s">
        <v>802</v>
      </c>
      <c r="F248" s="25">
        <v>0</v>
      </c>
      <c r="G248" s="26">
        <v>4</v>
      </c>
      <c r="H248" s="21" t="s">
        <v>243</v>
      </c>
      <c r="I248" s="23">
        <v>1</v>
      </c>
      <c r="J248" s="24">
        <v>66.59</v>
      </c>
      <c r="K248" s="32">
        <v>10.59</v>
      </c>
      <c r="L248" s="24">
        <v>16.649999999999999</v>
      </c>
      <c r="M248" s="34"/>
      <c r="N248" s="34"/>
      <c r="O248" s="22" t="str">
        <f>IF(ISNA(VLOOKUP(Table_master_data[[#This Row],[Pick]],Table2[#All],2,FALSE)),"-",VLOOKUP(Table_master_data[[#This Row],[Pick]],Table2[#All],2,FALSE))</f>
        <v>-</v>
      </c>
      <c r="P248" s="22"/>
    </row>
    <row r="249" spans="2:16" x14ac:dyDescent="0.25">
      <c r="B249" s="21">
        <v>271</v>
      </c>
      <c r="C249" s="21" t="s">
        <v>422</v>
      </c>
      <c r="D249" s="21" t="s">
        <v>179</v>
      </c>
      <c r="E249" s="21" t="s">
        <v>188</v>
      </c>
      <c r="F249" s="25">
        <v>45</v>
      </c>
      <c r="G249" s="26">
        <v>5</v>
      </c>
      <c r="H249" s="21" t="s">
        <v>250</v>
      </c>
      <c r="I249" s="23">
        <v>0.5</v>
      </c>
      <c r="J249" s="24">
        <v>66.58</v>
      </c>
      <c r="K249" s="32">
        <v>8</v>
      </c>
      <c r="L249" s="24">
        <v>13.32</v>
      </c>
      <c r="M249" s="34"/>
      <c r="N249" s="34"/>
      <c r="O249" s="22" t="str">
        <f>IF(ISNA(VLOOKUP(Table_master_data[[#This Row],[Pick]],Table2[#All],2,FALSE)),"-",VLOOKUP(Table_master_data[[#This Row],[Pick]],Table2[#All],2,FALSE))</f>
        <v>-</v>
      </c>
      <c r="P249" s="22"/>
    </row>
    <row r="250" spans="2:16" x14ac:dyDescent="0.25">
      <c r="B250" s="21">
        <v>8</v>
      </c>
      <c r="C250" s="21" t="s">
        <v>268</v>
      </c>
      <c r="D250" s="21" t="s">
        <v>181</v>
      </c>
      <c r="E250" s="21" t="s">
        <v>194</v>
      </c>
      <c r="F250" s="25">
        <v>114</v>
      </c>
      <c r="G250" s="26">
        <v>5.5</v>
      </c>
      <c r="H250" s="21" t="s">
        <v>243</v>
      </c>
      <c r="I250" s="23">
        <v>1</v>
      </c>
      <c r="J250" s="24">
        <v>65.84</v>
      </c>
      <c r="K250" s="32">
        <v>8.15</v>
      </c>
      <c r="L250" s="24">
        <v>11.97</v>
      </c>
      <c r="M250" s="34"/>
      <c r="N250" s="34"/>
      <c r="O250" s="22" t="str">
        <f>IF(ISNA(VLOOKUP(Table_master_data[[#This Row],[Pick]],Table2[#All],2,FALSE)),"-",VLOOKUP(Table_master_data[[#This Row],[Pick]],Table2[#All],2,FALSE))</f>
        <v>-</v>
      </c>
      <c r="P250" s="22" t="s">
        <v>4</v>
      </c>
    </row>
    <row r="251" spans="2:16" x14ac:dyDescent="0.25">
      <c r="B251" s="21">
        <v>272</v>
      </c>
      <c r="C251" s="21" t="s">
        <v>133</v>
      </c>
      <c r="D251" s="21" t="s">
        <v>179</v>
      </c>
      <c r="E251" s="21" t="s">
        <v>188</v>
      </c>
      <c r="F251" s="25">
        <v>58</v>
      </c>
      <c r="G251" s="26">
        <v>5</v>
      </c>
      <c r="H251" s="21" t="s">
        <v>243</v>
      </c>
      <c r="I251" s="23">
        <v>1</v>
      </c>
      <c r="J251" s="24">
        <v>65.73</v>
      </c>
      <c r="K251" s="32">
        <v>8.0500000000000007</v>
      </c>
      <c r="L251" s="24">
        <v>13.15</v>
      </c>
      <c r="M251" s="34"/>
      <c r="N251" s="34"/>
      <c r="O251" s="22" t="str">
        <f>IF(ISNA(VLOOKUP(Table_master_data[[#This Row],[Pick]],Table2[#All],2,FALSE)),"-",VLOOKUP(Table_master_data[[#This Row],[Pick]],Table2[#All],2,FALSE))</f>
        <v>-</v>
      </c>
      <c r="P251" s="22"/>
    </row>
    <row r="252" spans="2:16" x14ac:dyDescent="0.25">
      <c r="B252" s="21">
        <v>252</v>
      </c>
      <c r="C252" s="21" t="s">
        <v>414</v>
      </c>
      <c r="D252" s="21" t="s">
        <v>178</v>
      </c>
      <c r="E252" s="21" t="s">
        <v>802</v>
      </c>
      <c r="F252" s="25">
        <v>3</v>
      </c>
      <c r="G252" s="26">
        <v>4.5</v>
      </c>
      <c r="H252" s="21" t="s">
        <v>250</v>
      </c>
      <c r="I252" s="23">
        <v>0.75</v>
      </c>
      <c r="J252" s="24">
        <v>65.39</v>
      </c>
      <c r="K252" s="32">
        <v>7.24</v>
      </c>
      <c r="L252" s="24">
        <v>14.53</v>
      </c>
      <c r="M252" s="34"/>
      <c r="N252" s="34"/>
      <c r="O252" s="22" t="str">
        <f>IF(ISNA(VLOOKUP(Table_master_data[[#This Row],[Pick]],Table2[#All],2,FALSE)),"-",VLOOKUP(Table_master_data[[#This Row],[Pick]],Table2[#All],2,FALSE))</f>
        <v>-</v>
      </c>
      <c r="P252" s="22"/>
    </row>
    <row r="253" spans="2:16" x14ac:dyDescent="0.25">
      <c r="B253" s="21">
        <v>593</v>
      </c>
      <c r="C253" s="21" t="s">
        <v>750</v>
      </c>
      <c r="D253" s="21" t="s">
        <v>179</v>
      </c>
      <c r="E253" s="21" t="s">
        <v>192</v>
      </c>
      <c r="F253" s="25">
        <v>71</v>
      </c>
      <c r="G253" s="26">
        <v>5</v>
      </c>
      <c r="H253" s="21" t="s">
        <v>243</v>
      </c>
      <c r="I253" s="23">
        <v>1</v>
      </c>
      <c r="J253" s="24">
        <v>65.38</v>
      </c>
      <c r="K253" s="32">
        <v>13.120000000000001</v>
      </c>
      <c r="L253" s="24">
        <v>13.08</v>
      </c>
      <c r="M253" s="34"/>
      <c r="N253" s="34"/>
      <c r="O253" s="22" t="str">
        <f>IF(ISNA(VLOOKUP(Table_master_data[[#This Row],[Pick]],Table2[#All],2,FALSE)),"-",VLOOKUP(Table_master_data[[#This Row],[Pick]],Table2[#All],2,FALSE))</f>
        <v>-</v>
      </c>
      <c r="P253" s="22"/>
    </row>
    <row r="254" spans="2:16" x14ac:dyDescent="0.25">
      <c r="B254" s="21">
        <v>455</v>
      </c>
      <c r="C254" s="21" t="s">
        <v>9</v>
      </c>
      <c r="D254" s="21" t="s">
        <v>179</v>
      </c>
      <c r="E254" s="21" t="s">
        <v>193</v>
      </c>
      <c r="F254" s="25">
        <v>25</v>
      </c>
      <c r="G254" s="26">
        <v>6</v>
      </c>
      <c r="H254" s="21" t="s">
        <v>243</v>
      </c>
      <c r="I254" s="23">
        <v>1</v>
      </c>
      <c r="J254" s="24">
        <v>64.989999999999995</v>
      </c>
      <c r="K254" s="32">
        <v>12.830000000000002</v>
      </c>
      <c r="L254" s="24">
        <v>10.83</v>
      </c>
      <c r="M254" s="34"/>
      <c r="N254" s="34"/>
      <c r="O254" s="22" t="str">
        <f>IF(ISNA(VLOOKUP(Table_master_data[[#This Row],[Pick]],Table2[#All],2,FALSE)),"-",VLOOKUP(Table_master_data[[#This Row],[Pick]],Table2[#All],2,FALSE))</f>
        <v>-</v>
      </c>
      <c r="P254" s="22"/>
    </row>
    <row r="255" spans="2:16" x14ac:dyDescent="0.25">
      <c r="B255" s="21">
        <v>597</v>
      </c>
      <c r="C255" s="21" t="s">
        <v>92</v>
      </c>
      <c r="D255" s="21" t="s">
        <v>178</v>
      </c>
      <c r="E255" s="21" t="s">
        <v>192</v>
      </c>
      <c r="F255" s="25">
        <v>35</v>
      </c>
      <c r="G255" s="26">
        <v>6.5</v>
      </c>
      <c r="H255" s="21" t="s">
        <v>243</v>
      </c>
      <c r="I255" s="23">
        <v>1</v>
      </c>
      <c r="J255" s="24">
        <v>64.27</v>
      </c>
      <c r="K255" s="32">
        <v>14.8</v>
      </c>
      <c r="L255" s="24">
        <v>9.89</v>
      </c>
      <c r="M255" s="34"/>
      <c r="N255" s="34"/>
      <c r="O255" s="22" t="str">
        <f>IF(ISNA(VLOOKUP(Table_master_data[[#This Row],[Pick]],Table2[#All],2,FALSE)),"-",VLOOKUP(Table_master_data[[#This Row],[Pick]],Table2[#All],2,FALSE))</f>
        <v>-</v>
      </c>
      <c r="P255" s="22"/>
    </row>
    <row r="256" spans="2:16" x14ac:dyDescent="0.25">
      <c r="B256" s="21">
        <v>238</v>
      </c>
      <c r="C256" s="21" t="s">
        <v>605</v>
      </c>
      <c r="D256" s="21" t="s">
        <v>179</v>
      </c>
      <c r="E256" s="21" t="s">
        <v>187</v>
      </c>
      <c r="F256" s="25">
        <v>0</v>
      </c>
      <c r="G256" s="26">
        <v>6.5</v>
      </c>
      <c r="H256" s="21" t="s">
        <v>243</v>
      </c>
      <c r="I256" s="23">
        <v>1</v>
      </c>
      <c r="J256" s="24">
        <v>63.55</v>
      </c>
      <c r="K256" s="32">
        <v>7.580000000000001</v>
      </c>
      <c r="L256" s="24">
        <v>9.7799999999999994</v>
      </c>
      <c r="M256" s="34"/>
      <c r="N256" s="34"/>
      <c r="O256" s="22" t="str">
        <f>IF(ISNA(VLOOKUP(Table_master_data[[#This Row],[Pick]],Table2[#All],2,FALSE)),"-",VLOOKUP(Table_master_data[[#This Row],[Pick]],Table2[#All],2,FALSE))</f>
        <v>-</v>
      </c>
      <c r="P256" s="22"/>
    </row>
    <row r="257" spans="2:16" x14ac:dyDescent="0.25">
      <c r="B257" s="21">
        <v>217</v>
      </c>
      <c r="C257" s="21" t="s">
        <v>602</v>
      </c>
      <c r="D257" s="21" t="s">
        <v>178</v>
      </c>
      <c r="E257" s="21" t="s">
        <v>508</v>
      </c>
      <c r="F257" s="25">
        <v>0</v>
      </c>
      <c r="G257" s="26">
        <v>5</v>
      </c>
      <c r="H257" s="21" t="s">
        <v>243</v>
      </c>
      <c r="I257" s="23">
        <v>1</v>
      </c>
      <c r="J257" s="24">
        <v>62.46</v>
      </c>
      <c r="K257" s="32">
        <v>13.17</v>
      </c>
      <c r="L257" s="24">
        <v>12.49</v>
      </c>
      <c r="M257" s="34"/>
      <c r="N257" s="34"/>
      <c r="O257" s="22" t="str">
        <f>IF(ISNA(VLOOKUP(Table_master_data[[#This Row],[Pick]],Table2[#All],2,FALSE)),"-",VLOOKUP(Table_master_data[[#This Row],[Pick]],Table2[#All],2,FALSE))</f>
        <v>-</v>
      </c>
      <c r="P257" s="22"/>
    </row>
    <row r="258" spans="2:16" x14ac:dyDescent="0.25">
      <c r="B258" s="21">
        <v>178</v>
      </c>
      <c r="C258" s="21" t="s">
        <v>27</v>
      </c>
      <c r="D258" s="21" t="s">
        <v>178</v>
      </c>
      <c r="E258" s="21" t="s">
        <v>373</v>
      </c>
      <c r="F258" s="25">
        <v>125</v>
      </c>
      <c r="G258" s="26">
        <v>6.5</v>
      </c>
      <c r="H258" s="21" t="s">
        <v>243</v>
      </c>
      <c r="I258" s="23">
        <v>1</v>
      </c>
      <c r="J258" s="24">
        <v>62.23</v>
      </c>
      <c r="K258" s="32">
        <v>6.2</v>
      </c>
      <c r="L258" s="24">
        <v>9.57</v>
      </c>
      <c r="M258" s="34">
        <v>13</v>
      </c>
      <c r="N258" s="34"/>
      <c r="O258" s="22" t="str">
        <f>IF(ISNA(VLOOKUP(Table_master_data[[#This Row],[Pick]],Table2[#All],2,FALSE)),"-",VLOOKUP(Table_master_data[[#This Row],[Pick]],Table2[#All],2,FALSE))</f>
        <v>Rotiation FWD</v>
      </c>
      <c r="P258" s="22" t="s">
        <v>837</v>
      </c>
    </row>
    <row r="259" spans="2:16" x14ac:dyDescent="0.25">
      <c r="B259" s="21">
        <v>574</v>
      </c>
      <c r="C259" s="21" t="s">
        <v>351</v>
      </c>
      <c r="D259" s="21" t="s">
        <v>181</v>
      </c>
      <c r="E259" s="21" t="s">
        <v>192</v>
      </c>
      <c r="F259" s="25">
        <v>43</v>
      </c>
      <c r="G259" s="26">
        <v>4.5</v>
      </c>
      <c r="H259" s="21" t="s">
        <v>250</v>
      </c>
      <c r="I259" s="23">
        <v>0.75</v>
      </c>
      <c r="J259" s="24">
        <v>61.22</v>
      </c>
      <c r="K259" s="32">
        <v>6.2</v>
      </c>
      <c r="L259" s="24">
        <v>13.61</v>
      </c>
      <c r="M259" s="34"/>
      <c r="N259" s="34"/>
      <c r="O259" s="22" t="str">
        <f>IF(ISNA(VLOOKUP(Table_master_data[[#This Row],[Pick]],Table2[#All],2,FALSE)),"-",VLOOKUP(Table_master_data[[#This Row],[Pick]],Table2[#All],2,FALSE))</f>
        <v>-</v>
      </c>
      <c r="P259" s="22"/>
    </row>
    <row r="260" spans="2:16" x14ac:dyDescent="0.25">
      <c r="B260" s="21">
        <v>615</v>
      </c>
      <c r="C260" s="21" t="s">
        <v>495</v>
      </c>
      <c r="D260" s="21" t="s">
        <v>179</v>
      </c>
      <c r="E260" s="21" t="s">
        <v>372</v>
      </c>
      <c r="F260" s="25">
        <v>33</v>
      </c>
      <c r="G260" s="26">
        <v>5.5</v>
      </c>
      <c r="H260" s="21" t="s">
        <v>251</v>
      </c>
      <c r="I260" s="23">
        <v>0</v>
      </c>
      <c r="J260" s="24">
        <v>60.46</v>
      </c>
      <c r="K260" s="32">
        <v>1.07</v>
      </c>
      <c r="L260" s="24">
        <v>10.99</v>
      </c>
      <c r="M260" s="34"/>
      <c r="N260" s="34"/>
      <c r="O260" s="22" t="str">
        <f>IF(ISNA(VLOOKUP(Table_master_data[[#This Row],[Pick]],Table2[#All],2,FALSE)),"-",VLOOKUP(Table_master_data[[#This Row],[Pick]],Table2[#All],2,FALSE))</f>
        <v>-</v>
      </c>
      <c r="P260" s="22"/>
    </row>
    <row r="261" spans="2:16" x14ac:dyDescent="0.25">
      <c r="B261" s="21">
        <v>375</v>
      </c>
      <c r="C261" s="21" t="s">
        <v>437</v>
      </c>
      <c r="D261" s="21" t="s">
        <v>181</v>
      </c>
      <c r="E261" s="21" t="s">
        <v>180</v>
      </c>
      <c r="F261" s="25">
        <v>41</v>
      </c>
      <c r="G261" s="26">
        <v>5</v>
      </c>
      <c r="H261" s="21" t="s">
        <v>250</v>
      </c>
      <c r="I261" s="23">
        <v>0.75</v>
      </c>
      <c r="J261" s="24">
        <v>59.58</v>
      </c>
      <c r="K261" s="32">
        <v>5.41</v>
      </c>
      <c r="L261" s="24">
        <v>11.92</v>
      </c>
      <c r="M261" s="34"/>
      <c r="N261" s="34"/>
      <c r="O261" s="22" t="str">
        <f>IF(ISNA(VLOOKUP(Table_master_data[[#This Row],[Pick]],Table2[#All],2,FALSE)),"-",VLOOKUP(Table_master_data[[#This Row],[Pick]],Table2[#All],2,FALSE))</f>
        <v>-</v>
      </c>
      <c r="P261" s="22"/>
    </row>
    <row r="262" spans="2:16" x14ac:dyDescent="0.25">
      <c r="B262" s="21">
        <v>633</v>
      </c>
      <c r="C262" s="21" t="s">
        <v>483</v>
      </c>
      <c r="D262" s="21" t="s">
        <v>181</v>
      </c>
      <c r="E262" s="21" t="s">
        <v>182</v>
      </c>
      <c r="F262" s="25">
        <v>0</v>
      </c>
      <c r="G262" s="26">
        <v>4.5</v>
      </c>
      <c r="H262" s="21" t="s">
        <v>243</v>
      </c>
      <c r="I262" s="23">
        <v>1</v>
      </c>
      <c r="J262" s="24">
        <v>59.53</v>
      </c>
      <c r="K262" s="32">
        <v>7.62</v>
      </c>
      <c r="L262" s="24">
        <v>13.23</v>
      </c>
      <c r="M262" s="34"/>
      <c r="N262" s="34"/>
      <c r="O262" s="22" t="str">
        <f>IF(ISNA(VLOOKUP(Table_master_data[[#This Row],[Pick]],Table2[#All],2,FALSE)),"-",VLOOKUP(Table_master_data[[#This Row],[Pick]],Table2[#All],2,FALSE))</f>
        <v>-</v>
      </c>
      <c r="P262" s="22"/>
    </row>
    <row r="263" spans="2:16" x14ac:dyDescent="0.25">
      <c r="B263" s="21">
        <v>107</v>
      </c>
      <c r="C263" s="21" t="s">
        <v>143</v>
      </c>
      <c r="D263" s="21" t="s">
        <v>181</v>
      </c>
      <c r="E263" s="21" t="s">
        <v>183</v>
      </c>
      <c r="F263" s="25">
        <v>94</v>
      </c>
      <c r="G263" s="26">
        <v>5</v>
      </c>
      <c r="H263" s="21" t="s">
        <v>243</v>
      </c>
      <c r="I263" s="23">
        <v>1</v>
      </c>
      <c r="J263" s="24">
        <v>59.47</v>
      </c>
      <c r="K263" s="32">
        <v>11.680000000000001</v>
      </c>
      <c r="L263" s="24">
        <v>11.89</v>
      </c>
      <c r="M263" s="34"/>
      <c r="N263" s="34"/>
      <c r="O263" s="22" t="str">
        <f>IF(ISNA(VLOOKUP(Table_master_data[[#This Row],[Pick]],Table2[#All],2,FALSE)),"-",VLOOKUP(Table_master_data[[#This Row],[Pick]],Table2[#All],2,FALSE))</f>
        <v>-</v>
      </c>
      <c r="P263" s="22"/>
    </row>
    <row r="264" spans="2:16" x14ac:dyDescent="0.25">
      <c r="B264" s="21">
        <v>634</v>
      </c>
      <c r="C264" s="21" t="s">
        <v>484</v>
      </c>
      <c r="D264" s="21" t="s">
        <v>181</v>
      </c>
      <c r="E264" s="21" t="s">
        <v>182</v>
      </c>
      <c r="F264" s="25">
        <v>3</v>
      </c>
      <c r="G264" s="26">
        <v>4.5</v>
      </c>
      <c r="H264" s="21" t="s">
        <v>243</v>
      </c>
      <c r="I264" s="23">
        <v>1</v>
      </c>
      <c r="J264" s="24">
        <v>57.78</v>
      </c>
      <c r="K264" s="32">
        <v>6.58</v>
      </c>
      <c r="L264" s="24">
        <v>12.84</v>
      </c>
      <c r="M264" s="34"/>
      <c r="N264" s="34"/>
      <c r="O264" s="22" t="str">
        <f>IF(ISNA(VLOOKUP(Table_master_data[[#This Row],[Pick]],Table2[#All],2,FALSE)),"-",VLOOKUP(Table_master_data[[#This Row],[Pick]],Table2[#All],2,FALSE))</f>
        <v>-</v>
      </c>
      <c r="P264" s="22"/>
    </row>
    <row r="265" spans="2:16" x14ac:dyDescent="0.25">
      <c r="B265" s="21">
        <v>584</v>
      </c>
      <c r="C265" s="21" t="s">
        <v>751</v>
      </c>
      <c r="D265" s="21" t="s">
        <v>179</v>
      </c>
      <c r="E265" s="21" t="s">
        <v>192</v>
      </c>
      <c r="F265" s="25">
        <v>42</v>
      </c>
      <c r="G265" s="26">
        <v>6.5</v>
      </c>
      <c r="H265" s="21" t="s">
        <v>243</v>
      </c>
      <c r="I265" s="23">
        <v>1</v>
      </c>
      <c r="J265" s="24">
        <v>57.76</v>
      </c>
      <c r="K265" s="32">
        <v>7.3699999999999992</v>
      </c>
      <c r="L265" s="24">
        <v>8.89</v>
      </c>
      <c r="M265" s="34"/>
      <c r="N265" s="34"/>
      <c r="O265" s="22" t="str">
        <f>IF(ISNA(VLOOKUP(Table_master_data[[#This Row],[Pick]],Table2[#All],2,FALSE)),"-",VLOOKUP(Table_master_data[[#This Row],[Pick]],Table2[#All],2,FALSE))</f>
        <v>-</v>
      </c>
      <c r="P265" s="22"/>
    </row>
    <row r="266" spans="2:16" x14ac:dyDescent="0.25">
      <c r="B266" s="21">
        <v>440</v>
      </c>
      <c r="C266" s="21" t="s">
        <v>80</v>
      </c>
      <c r="D266" s="21" t="s">
        <v>181</v>
      </c>
      <c r="E266" s="21" t="s">
        <v>193</v>
      </c>
      <c r="F266" s="25">
        <v>95</v>
      </c>
      <c r="G266" s="26">
        <v>4.5</v>
      </c>
      <c r="H266" s="21" t="s">
        <v>243</v>
      </c>
      <c r="I266" s="23">
        <v>1</v>
      </c>
      <c r="J266" s="24">
        <v>57.33</v>
      </c>
      <c r="K266" s="32">
        <v>8.4400000000000013</v>
      </c>
      <c r="L266" s="24">
        <v>12.74</v>
      </c>
      <c r="M266" s="34"/>
      <c r="N266" s="34"/>
      <c r="O266" s="22" t="str">
        <f>IF(ISNA(VLOOKUP(Table_master_data[[#This Row],[Pick]],Table2[#All],2,FALSE)),"-",VLOOKUP(Table_master_data[[#This Row],[Pick]],Table2[#All],2,FALSE))</f>
        <v>-</v>
      </c>
      <c r="P266" s="22"/>
    </row>
    <row r="267" spans="2:16" x14ac:dyDescent="0.25">
      <c r="B267" s="21">
        <v>585</v>
      </c>
      <c r="C267" s="21" t="s">
        <v>53</v>
      </c>
      <c r="D267" s="21" t="s">
        <v>179</v>
      </c>
      <c r="E267" s="21" t="s">
        <v>192</v>
      </c>
      <c r="F267" s="25">
        <v>49</v>
      </c>
      <c r="G267" s="26">
        <v>5.5</v>
      </c>
      <c r="H267" s="21" t="s">
        <v>243</v>
      </c>
      <c r="I267" s="23">
        <v>1</v>
      </c>
      <c r="J267" s="24">
        <v>56.21</v>
      </c>
      <c r="K267" s="32">
        <v>11.690000000000001</v>
      </c>
      <c r="L267" s="24">
        <v>10.220000000000001</v>
      </c>
      <c r="M267" s="34"/>
      <c r="N267" s="34"/>
      <c r="O267" s="22" t="str">
        <f>IF(ISNA(VLOOKUP(Table_master_data[[#This Row],[Pick]],Table2[#All],2,FALSE)),"-",VLOOKUP(Table_master_data[[#This Row],[Pick]],Table2[#All],2,FALSE))</f>
        <v>-</v>
      </c>
      <c r="P267" s="22"/>
    </row>
    <row r="268" spans="2:16" x14ac:dyDescent="0.25">
      <c r="B268" s="21">
        <v>228</v>
      </c>
      <c r="C268" s="21" t="s">
        <v>319</v>
      </c>
      <c r="D268" s="21" t="s">
        <v>181</v>
      </c>
      <c r="E268" s="21" t="s">
        <v>187</v>
      </c>
      <c r="F268" s="25">
        <v>60</v>
      </c>
      <c r="G268" s="26">
        <v>5</v>
      </c>
      <c r="H268" s="21" t="s">
        <v>243</v>
      </c>
      <c r="I268" s="23">
        <v>1</v>
      </c>
      <c r="J268" s="24">
        <v>55.83</v>
      </c>
      <c r="K268" s="32">
        <v>6.23</v>
      </c>
      <c r="L268" s="24">
        <v>11.17</v>
      </c>
      <c r="M268" s="34"/>
      <c r="N268" s="34"/>
      <c r="O268" s="22" t="str">
        <f>IF(ISNA(VLOOKUP(Table_master_data[[#This Row],[Pick]],Table2[#All],2,FALSE)),"-",VLOOKUP(Table_master_data[[#This Row],[Pick]],Table2[#All],2,FALSE))</f>
        <v>-</v>
      </c>
      <c r="P268" s="22"/>
    </row>
    <row r="269" spans="2:16" x14ac:dyDescent="0.25">
      <c r="B269" s="21">
        <v>83</v>
      </c>
      <c r="C269" s="21" t="s">
        <v>308</v>
      </c>
      <c r="D269" s="21" t="s">
        <v>179</v>
      </c>
      <c r="E269" s="21" t="s">
        <v>190</v>
      </c>
      <c r="F269" s="25">
        <v>111</v>
      </c>
      <c r="G269" s="26">
        <v>6</v>
      </c>
      <c r="H269" s="21" t="s">
        <v>243</v>
      </c>
      <c r="I269" s="23">
        <v>1</v>
      </c>
      <c r="J269" s="24">
        <v>55.83</v>
      </c>
      <c r="K269" s="32">
        <v>11.16</v>
      </c>
      <c r="L269" s="24">
        <v>9.31</v>
      </c>
      <c r="M269" s="34"/>
      <c r="N269" s="34"/>
      <c r="O269" s="22" t="str">
        <f>IF(ISNA(VLOOKUP(Table_master_data[[#This Row],[Pick]],Table2[#All],2,FALSE)),"-",VLOOKUP(Table_master_data[[#This Row],[Pick]],Table2[#All],2,FALSE))</f>
        <v>-</v>
      </c>
      <c r="P269" s="22"/>
    </row>
    <row r="270" spans="2:16" x14ac:dyDescent="0.25">
      <c r="B270" s="21">
        <v>521</v>
      </c>
      <c r="C270" s="21" t="s">
        <v>807</v>
      </c>
      <c r="D270" s="21" t="s">
        <v>179</v>
      </c>
      <c r="E270" s="21" t="s">
        <v>374</v>
      </c>
      <c r="F270" s="25">
        <v>20</v>
      </c>
      <c r="G270" s="26">
        <v>5</v>
      </c>
      <c r="H270" s="21" t="s">
        <v>243</v>
      </c>
      <c r="I270" s="23">
        <v>1</v>
      </c>
      <c r="J270" s="24">
        <v>55.78</v>
      </c>
      <c r="K270" s="32">
        <v>7.3400000000000007</v>
      </c>
      <c r="L270" s="24">
        <v>11.16</v>
      </c>
      <c r="M270" s="34"/>
      <c r="N270" s="34"/>
      <c r="O270" s="22" t="str">
        <f>IF(ISNA(VLOOKUP(Table_master_data[[#This Row],[Pick]],Table2[#All],2,FALSE)),"-",VLOOKUP(Table_master_data[[#This Row],[Pick]],Table2[#All],2,FALSE))</f>
        <v>-</v>
      </c>
      <c r="P270" s="22"/>
    </row>
    <row r="271" spans="2:16" x14ac:dyDescent="0.25">
      <c r="B271" s="21">
        <v>20</v>
      </c>
      <c r="C271" s="21" t="s">
        <v>21</v>
      </c>
      <c r="D271" s="21" t="s">
        <v>179</v>
      </c>
      <c r="E271" s="21" t="s">
        <v>194</v>
      </c>
      <c r="F271" s="25">
        <v>152</v>
      </c>
      <c r="G271" s="26">
        <v>7</v>
      </c>
      <c r="H271" s="21" t="s">
        <v>250</v>
      </c>
      <c r="I271" s="23">
        <v>0.75</v>
      </c>
      <c r="J271" s="24">
        <v>55.19</v>
      </c>
      <c r="K271" s="32">
        <v>6.24</v>
      </c>
      <c r="L271" s="24">
        <v>7.88</v>
      </c>
      <c r="M271" s="34"/>
      <c r="N271" s="34"/>
      <c r="O271" s="22" t="str">
        <f>IF(ISNA(VLOOKUP(Table_master_data[[#This Row],[Pick]],Table2[#All],2,FALSE)),"-",VLOOKUP(Table_master_data[[#This Row],[Pick]],Table2[#All],2,FALSE))</f>
        <v>-</v>
      </c>
      <c r="P271" s="22" t="s">
        <v>36</v>
      </c>
    </row>
    <row r="272" spans="2:16" x14ac:dyDescent="0.25">
      <c r="B272" s="21">
        <v>77</v>
      </c>
      <c r="C272" s="21" t="s">
        <v>301</v>
      </c>
      <c r="D272" s="21" t="s">
        <v>181</v>
      </c>
      <c r="E272" s="21" t="s">
        <v>190</v>
      </c>
      <c r="F272" s="25">
        <v>17</v>
      </c>
      <c r="G272" s="26">
        <v>4</v>
      </c>
      <c r="H272" s="21" t="s">
        <v>243</v>
      </c>
      <c r="I272" s="23">
        <v>1</v>
      </c>
      <c r="J272" s="24">
        <v>54.9</v>
      </c>
      <c r="K272" s="32">
        <v>10.16</v>
      </c>
      <c r="L272" s="24">
        <v>13.72</v>
      </c>
      <c r="M272" s="34"/>
      <c r="N272" s="34"/>
      <c r="O272" s="22" t="str">
        <f>IF(ISNA(VLOOKUP(Table_master_data[[#This Row],[Pick]],Table2[#All],2,FALSE)),"-",VLOOKUP(Table_master_data[[#This Row],[Pick]],Table2[#All],2,FALSE))</f>
        <v>-</v>
      </c>
      <c r="P272" s="22"/>
    </row>
    <row r="273" spans="2:16" x14ac:dyDescent="0.25">
      <c r="B273" s="21">
        <v>613</v>
      </c>
      <c r="C273" s="21" t="s">
        <v>42</v>
      </c>
      <c r="D273" s="21" t="s">
        <v>179</v>
      </c>
      <c r="E273" s="21" t="s">
        <v>372</v>
      </c>
      <c r="F273" s="25">
        <v>126</v>
      </c>
      <c r="G273" s="26">
        <v>6</v>
      </c>
      <c r="H273" s="21" t="s">
        <v>243</v>
      </c>
      <c r="I273" s="23">
        <v>1</v>
      </c>
      <c r="J273" s="24">
        <v>54.69</v>
      </c>
      <c r="K273" s="32">
        <v>7.120000000000001</v>
      </c>
      <c r="L273" s="24">
        <v>9.1199999999999992</v>
      </c>
      <c r="M273" s="34"/>
      <c r="N273" s="34"/>
      <c r="O273" s="22" t="str">
        <f>IF(ISNA(VLOOKUP(Table_master_data[[#This Row],[Pick]],Table2[#All],2,FALSE)),"-",VLOOKUP(Table_master_data[[#This Row],[Pick]],Table2[#All],2,FALSE))</f>
        <v>-</v>
      </c>
      <c r="P273" s="22"/>
    </row>
    <row r="274" spans="2:16" x14ac:dyDescent="0.25">
      <c r="B274" s="21">
        <v>229</v>
      </c>
      <c r="C274" s="21" t="s">
        <v>305</v>
      </c>
      <c r="D274" s="21" t="s">
        <v>181</v>
      </c>
      <c r="E274" s="21" t="s">
        <v>187</v>
      </c>
      <c r="F274" s="25">
        <v>7</v>
      </c>
      <c r="G274" s="26">
        <v>4.5</v>
      </c>
      <c r="H274" s="21" t="s">
        <v>250</v>
      </c>
      <c r="I274" s="23">
        <v>0.25</v>
      </c>
      <c r="J274" s="24">
        <v>53.73</v>
      </c>
      <c r="K274" s="32">
        <v>5.58</v>
      </c>
      <c r="L274" s="24">
        <v>11.94</v>
      </c>
      <c r="M274" s="34"/>
      <c r="N274" s="34"/>
      <c r="O274" s="22" t="str">
        <f>IF(ISNA(VLOOKUP(Table_master_data[[#This Row],[Pick]],Table2[#All],2,FALSE)),"-",VLOOKUP(Table_master_data[[#This Row],[Pick]],Table2[#All],2,FALSE))</f>
        <v>-</v>
      </c>
      <c r="P274" s="22"/>
    </row>
    <row r="275" spans="2:16" x14ac:dyDescent="0.25">
      <c r="B275" s="21">
        <v>90</v>
      </c>
      <c r="C275" s="21" t="s">
        <v>402</v>
      </c>
      <c r="D275" s="21" t="s">
        <v>179</v>
      </c>
      <c r="E275" s="21" t="s">
        <v>190</v>
      </c>
      <c r="F275" s="25">
        <v>26</v>
      </c>
      <c r="G275" s="26">
        <v>5</v>
      </c>
      <c r="H275" s="21" t="s">
        <v>243</v>
      </c>
      <c r="I275" s="23">
        <v>1</v>
      </c>
      <c r="J275" s="24">
        <v>53.47</v>
      </c>
      <c r="K275" s="32">
        <v>12.67</v>
      </c>
      <c r="L275" s="24">
        <v>10.69</v>
      </c>
      <c r="M275" s="34"/>
      <c r="N275" s="34"/>
      <c r="O275" s="22" t="str">
        <f>IF(ISNA(VLOOKUP(Table_master_data[[#This Row],[Pick]],Table2[#All],2,FALSE)),"-",VLOOKUP(Table_master_data[[#This Row],[Pick]],Table2[#All],2,FALSE))</f>
        <v>-</v>
      </c>
      <c r="P275" s="22"/>
    </row>
    <row r="276" spans="2:16" x14ac:dyDescent="0.25">
      <c r="B276" s="21">
        <v>169</v>
      </c>
      <c r="C276" s="21" t="s">
        <v>148</v>
      </c>
      <c r="D276" s="21" t="s">
        <v>179</v>
      </c>
      <c r="E276" s="21" t="s">
        <v>373</v>
      </c>
      <c r="F276" s="25">
        <v>30</v>
      </c>
      <c r="G276" s="26">
        <v>5</v>
      </c>
      <c r="H276" s="21" t="s">
        <v>243</v>
      </c>
      <c r="I276" s="23">
        <v>1</v>
      </c>
      <c r="J276" s="24">
        <v>53.32</v>
      </c>
      <c r="K276" s="32">
        <v>9.4400000000000013</v>
      </c>
      <c r="L276" s="24">
        <v>10.66</v>
      </c>
      <c r="M276" s="34"/>
      <c r="N276" s="34"/>
      <c r="O276" s="22" t="str">
        <f>IF(ISNA(VLOOKUP(Table_master_data[[#This Row],[Pick]],Table2[#All],2,FALSE)),"-",VLOOKUP(Table_master_data[[#This Row],[Pick]],Table2[#All],2,FALSE))</f>
        <v>-</v>
      </c>
      <c r="P276" s="22"/>
    </row>
    <row r="277" spans="2:16" x14ac:dyDescent="0.25">
      <c r="B277" s="21">
        <v>325</v>
      </c>
      <c r="C277" s="21" t="s">
        <v>124</v>
      </c>
      <c r="D277" s="21" t="s">
        <v>179</v>
      </c>
      <c r="E277" s="21" t="s">
        <v>189</v>
      </c>
      <c r="F277" s="25">
        <v>114</v>
      </c>
      <c r="G277" s="26">
        <v>6</v>
      </c>
      <c r="H277" s="21" t="s">
        <v>243</v>
      </c>
      <c r="I277" s="23">
        <v>1</v>
      </c>
      <c r="J277" s="24">
        <v>52.96</v>
      </c>
      <c r="K277" s="32">
        <v>5.87</v>
      </c>
      <c r="L277" s="24">
        <v>8.83</v>
      </c>
      <c r="M277" s="34"/>
      <c r="N277" s="34"/>
      <c r="O277" s="22" t="str">
        <f>IF(ISNA(VLOOKUP(Table_master_data[[#This Row],[Pick]],Table2[#All],2,FALSE)),"-",VLOOKUP(Table_master_data[[#This Row],[Pick]],Table2[#All],2,FALSE))</f>
        <v>-</v>
      </c>
      <c r="P277" s="22"/>
    </row>
    <row r="278" spans="2:16" x14ac:dyDescent="0.25">
      <c r="B278" s="21">
        <v>405</v>
      </c>
      <c r="C278" s="21" t="s">
        <v>823</v>
      </c>
      <c r="D278" s="21" t="s">
        <v>181</v>
      </c>
      <c r="E278" s="21" t="s">
        <v>184</v>
      </c>
      <c r="F278" s="25">
        <v>25</v>
      </c>
      <c r="G278" s="26">
        <v>5.5</v>
      </c>
      <c r="H278" s="21" t="s">
        <v>243</v>
      </c>
      <c r="I278" s="23">
        <v>1</v>
      </c>
      <c r="J278" s="24">
        <v>52.88</v>
      </c>
      <c r="K278" s="32">
        <v>7.830000000000001</v>
      </c>
      <c r="L278" s="24">
        <v>9.6199999999999992</v>
      </c>
      <c r="M278" s="34"/>
      <c r="N278" s="34"/>
      <c r="O278" s="22" t="str">
        <f>IF(ISNA(VLOOKUP(Table_master_data[[#This Row],[Pick]],Table2[#All],2,FALSE)),"-",VLOOKUP(Table_master_data[[#This Row],[Pick]],Table2[#All],2,FALSE))</f>
        <v>-</v>
      </c>
      <c r="P278" s="22"/>
    </row>
    <row r="279" spans="2:16" x14ac:dyDescent="0.25">
      <c r="B279" s="21">
        <v>7</v>
      </c>
      <c r="C279" s="21" t="s">
        <v>385</v>
      </c>
      <c r="D279" s="21" t="s">
        <v>181</v>
      </c>
      <c r="E279" s="21" t="s">
        <v>194</v>
      </c>
      <c r="F279" s="25">
        <v>39</v>
      </c>
      <c r="G279" s="26">
        <v>5.5</v>
      </c>
      <c r="H279" s="21" t="s">
        <v>243</v>
      </c>
      <c r="I279" s="23">
        <v>1</v>
      </c>
      <c r="J279" s="24">
        <v>52.77</v>
      </c>
      <c r="K279" s="32">
        <v>6.06</v>
      </c>
      <c r="L279" s="24">
        <v>9.6</v>
      </c>
      <c r="M279" s="34"/>
      <c r="N279" s="34"/>
      <c r="O279" s="22" t="str">
        <f>IF(ISNA(VLOOKUP(Table_master_data[[#This Row],[Pick]],Table2[#All],2,FALSE)),"-",VLOOKUP(Table_master_data[[#This Row],[Pick]],Table2[#All],2,FALSE))</f>
        <v>-</v>
      </c>
      <c r="P279" s="22"/>
    </row>
    <row r="280" spans="2:16" x14ac:dyDescent="0.25">
      <c r="B280" s="21">
        <v>122</v>
      </c>
      <c r="C280" s="21" t="s">
        <v>583</v>
      </c>
      <c r="D280" s="21" t="s">
        <v>179</v>
      </c>
      <c r="E280" s="21" t="s">
        <v>183</v>
      </c>
      <c r="F280" s="25">
        <v>0</v>
      </c>
      <c r="G280" s="26">
        <v>5.5</v>
      </c>
      <c r="H280" s="21" t="s">
        <v>243</v>
      </c>
      <c r="I280" s="23">
        <v>1</v>
      </c>
      <c r="J280" s="24">
        <v>52.04</v>
      </c>
      <c r="K280" s="32">
        <v>5.9399999999999995</v>
      </c>
      <c r="L280" s="24">
        <v>9.4600000000000009</v>
      </c>
      <c r="M280" s="34"/>
      <c r="N280" s="34"/>
      <c r="O280" s="22" t="str">
        <f>IF(ISNA(VLOOKUP(Table_master_data[[#This Row],[Pick]],Table2[#All],2,FALSE)),"-",VLOOKUP(Table_master_data[[#This Row],[Pick]],Table2[#All],2,FALSE))</f>
        <v>-</v>
      </c>
      <c r="P280" s="22"/>
    </row>
    <row r="281" spans="2:16" x14ac:dyDescent="0.25">
      <c r="B281" s="21">
        <v>372</v>
      </c>
      <c r="C281" s="21" t="s">
        <v>7</v>
      </c>
      <c r="D281" s="21" t="s">
        <v>181</v>
      </c>
      <c r="E281" s="21" t="s">
        <v>180</v>
      </c>
      <c r="F281" s="25">
        <v>91</v>
      </c>
      <c r="G281" s="26">
        <v>6</v>
      </c>
      <c r="H281" s="21" t="s">
        <v>243</v>
      </c>
      <c r="I281" s="23">
        <v>1</v>
      </c>
      <c r="J281" s="24">
        <v>51.45</v>
      </c>
      <c r="K281" s="32">
        <v>5.2899999999999991</v>
      </c>
      <c r="L281" s="24">
        <v>8.58</v>
      </c>
      <c r="M281" s="34"/>
      <c r="N281" s="34"/>
      <c r="O281" s="22" t="str">
        <f>IF(ISNA(VLOOKUP(Table_master_data[[#This Row],[Pick]],Table2[#All],2,FALSE)),"-",VLOOKUP(Table_master_data[[#This Row],[Pick]],Table2[#All],2,FALSE))</f>
        <v>-</v>
      </c>
      <c r="P281" s="22"/>
    </row>
    <row r="282" spans="2:16" x14ac:dyDescent="0.25">
      <c r="B282" s="21">
        <v>327</v>
      </c>
      <c r="C282" s="21" t="s">
        <v>68</v>
      </c>
      <c r="D282" s="21" t="s">
        <v>179</v>
      </c>
      <c r="E282" s="21" t="s">
        <v>189</v>
      </c>
      <c r="F282" s="25">
        <v>81</v>
      </c>
      <c r="G282" s="26">
        <v>5.5</v>
      </c>
      <c r="H282" s="21" t="s">
        <v>243</v>
      </c>
      <c r="I282" s="23">
        <v>1</v>
      </c>
      <c r="J282" s="24">
        <v>51.29</v>
      </c>
      <c r="K282" s="32">
        <v>5.330000000000001</v>
      </c>
      <c r="L282" s="24">
        <v>9.32</v>
      </c>
      <c r="M282" s="34"/>
      <c r="N282" s="34"/>
      <c r="O282" s="22" t="str">
        <f>IF(ISNA(VLOOKUP(Table_master_data[[#This Row],[Pick]],Table2[#All],2,FALSE)),"-",VLOOKUP(Table_master_data[[#This Row],[Pick]],Table2[#All],2,FALSE))</f>
        <v>-</v>
      </c>
      <c r="P282" s="22"/>
    </row>
    <row r="283" spans="2:16" x14ac:dyDescent="0.25">
      <c r="B283" s="21">
        <v>86</v>
      </c>
      <c r="C283" s="21" t="s">
        <v>66</v>
      </c>
      <c r="D283" s="21" t="s">
        <v>179</v>
      </c>
      <c r="E283" s="21" t="s">
        <v>190</v>
      </c>
      <c r="F283" s="25">
        <v>52</v>
      </c>
      <c r="G283" s="26">
        <v>5</v>
      </c>
      <c r="H283" s="21" t="s">
        <v>243</v>
      </c>
      <c r="I283" s="23">
        <v>1</v>
      </c>
      <c r="J283" s="24">
        <v>50.95</v>
      </c>
      <c r="K283" s="32">
        <v>10.280000000000001</v>
      </c>
      <c r="L283" s="24">
        <v>10.19</v>
      </c>
      <c r="M283" s="34"/>
      <c r="N283" s="34"/>
      <c r="O283" s="22" t="str">
        <f>IF(ISNA(VLOOKUP(Table_master_data[[#This Row],[Pick]],Table2[#All],2,FALSE)),"-",VLOOKUP(Table_master_data[[#This Row],[Pick]],Table2[#All],2,FALSE))</f>
        <v>-</v>
      </c>
      <c r="P283" s="22"/>
    </row>
    <row r="284" spans="2:16" x14ac:dyDescent="0.25">
      <c r="B284" s="21">
        <v>526</v>
      </c>
      <c r="C284" s="21" t="s">
        <v>736</v>
      </c>
      <c r="D284" s="21" t="s">
        <v>178</v>
      </c>
      <c r="E284" s="21" t="s">
        <v>374</v>
      </c>
      <c r="F284" s="25">
        <v>0</v>
      </c>
      <c r="G284" s="26">
        <v>6</v>
      </c>
      <c r="H284" s="21" t="s">
        <v>243</v>
      </c>
      <c r="I284" s="23">
        <v>1</v>
      </c>
      <c r="J284" s="24">
        <v>50.19</v>
      </c>
      <c r="K284" s="32">
        <v>7.1099999999999994</v>
      </c>
      <c r="L284" s="24">
        <v>8.3699999999999992</v>
      </c>
      <c r="M284" s="34"/>
      <c r="N284" s="34"/>
      <c r="O284" s="22" t="str">
        <f>IF(ISNA(VLOOKUP(Table_master_data[[#This Row],[Pick]],Table2[#All],2,FALSE)),"-",VLOOKUP(Table_master_data[[#This Row],[Pick]],Table2[#All],2,FALSE))</f>
        <v>-</v>
      </c>
      <c r="P284" s="22" t="s">
        <v>4</v>
      </c>
    </row>
    <row r="285" spans="2:16" x14ac:dyDescent="0.25">
      <c r="B285" s="21">
        <v>50</v>
      </c>
      <c r="C285" s="21" t="s">
        <v>629</v>
      </c>
      <c r="D285" s="21" t="s">
        <v>179</v>
      </c>
      <c r="E285" s="21" t="s">
        <v>191</v>
      </c>
      <c r="F285" s="25">
        <v>11</v>
      </c>
      <c r="G285" s="26">
        <v>5.5</v>
      </c>
      <c r="H285" s="21" t="s">
        <v>243</v>
      </c>
      <c r="I285" s="23">
        <v>1</v>
      </c>
      <c r="J285" s="24">
        <v>50.09</v>
      </c>
      <c r="K285" s="32">
        <v>7.18</v>
      </c>
      <c r="L285" s="24">
        <v>9.11</v>
      </c>
      <c r="M285" s="34"/>
      <c r="N285" s="34"/>
      <c r="O285" s="22" t="str">
        <f>IF(ISNA(VLOOKUP(Table_master_data[[#This Row],[Pick]],Table2[#All],2,FALSE)),"-",VLOOKUP(Table_master_data[[#This Row],[Pick]],Table2[#All],2,FALSE))</f>
        <v>-</v>
      </c>
      <c r="P285" s="22"/>
    </row>
    <row r="286" spans="2:16" x14ac:dyDescent="0.25">
      <c r="B286" s="21">
        <v>30</v>
      </c>
      <c r="C286" s="21" t="s">
        <v>32</v>
      </c>
      <c r="D286" s="21" t="s">
        <v>178</v>
      </c>
      <c r="E286" s="21" t="s">
        <v>194</v>
      </c>
      <c r="F286" s="25">
        <v>97</v>
      </c>
      <c r="G286" s="26">
        <v>7.5</v>
      </c>
      <c r="H286" s="21" t="s">
        <v>243</v>
      </c>
      <c r="I286" s="23">
        <v>1</v>
      </c>
      <c r="J286" s="24">
        <v>49.81</v>
      </c>
      <c r="K286" s="32">
        <v>6.51</v>
      </c>
      <c r="L286" s="24">
        <v>6.64</v>
      </c>
      <c r="M286" s="34"/>
      <c r="N286" s="34"/>
      <c r="O286" s="22" t="str">
        <f>IF(ISNA(VLOOKUP(Table_master_data[[#This Row],[Pick]],Table2[#All],2,FALSE)),"-",VLOOKUP(Table_master_data[[#This Row],[Pick]],Table2[#All],2,FALSE))</f>
        <v>-</v>
      </c>
      <c r="P286" s="22"/>
    </row>
    <row r="287" spans="2:16" x14ac:dyDescent="0.25">
      <c r="B287" s="21">
        <v>475</v>
      </c>
      <c r="C287" s="21" t="s">
        <v>77</v>
      </c>
      <c r="D287" s="21" t="s">
        <v>181</v>
      </c>
      <c r="E287" s="21" t="s">
        <v>186</v>
      </c>
      <c r="F287" s="25">
        <v>18</v>
      </c>
      <c r="G287" s="26">
        <v>5</v>
      </c>
      <c r="H287" s="21" t="s">
        <v>243</v>
      </c>
      <c r="I287" s="23">
        <v>1</v>
      </c>
      <c r="J287" s="24">
        <v>49.76</v>
      </c>
      <c r="K287" s="32">
        <v>3.72</v>
      </c>
      <c r="L287" s="24">
        <v>9.9499999999999993</v>
      </c>
      <c r="M287" s="34"/>
      <c r="N287" s="34"/>
      <c r="O287" s="22" t="str">
        <f>IF(ISNA(VLOOKUP(Table_master_data[[#This Row],[Pick]],Table2[#All],2,FALSE)),"-",VLOOKUP(Table_master_data[[#This Row],[Pick]],Table2[#All],2,FALSE))</f>
        <v>-</v>
      </c>
      <c r="P287" s="22"/>
    </row>
    <row r="288" spans="2:16" x14ac:dyDescent="0.25">
      <c r="B288" s="21">
        <v>352</v>
      </c>
      <c r="C288" s="21" t="s">
        <v>427</v>
      </c>
      <c r="D288" s="21" t="s">
        <v>179</v>
      </c>
      <c r="E288" s="21" t="s">
        <v>815</v>
      </c>
      <c r="F288" s="25">
        <v>81</v>
      </c>
      <c r="G288" s="26">
        <v>5.5</v>
      </c>
      <c r="H288" s="21" t="s">
        <v>243</v>
      </c>
      <c r="I288" s="23">
        <v>1</v>
      </c>
      <c r="J288" s="24">
        <v>48.56</v>
      </c>
      <c r="K288" s="32">
        <v>4.46</v>
      </c>
      <c r="L288" s="24">
        <v>8.83</v>
      </c>
      <c r="M288" s="34"/>
      <c r="N288" s="34"/>
      <c r="O288" s="22" t="str">
        <f>IF(ISNA(VLOOKUP(Table_master_data[[#This Row],[Pick]],Table2[#All],2,FALSE)),"-",VLOOKUP(Table_master_data[[#This Row],[Pick]],Table2[#All],2,FALSE))</f>
        <v>-</v>
      </c>
      <c r="P288" s="22"/>
    </row>
    <row r="289" spans="2:16" x14ac:dyDescent="0.25">
      <c r="B289" s="21">
        <v>144</v>
      </c>
      <c r="C289" s="21" t="s">
        <v>525</v>
      </c>
      <c r="D289" s="21" t="s">
        <v>181</v>
      </c>
      <c r="E289" s="21" t="s">
        <v>373</v>
      </c>
      <c r="F289" s="25">
        <v>0</v>
      </c>
      <c r="G289" s="26">
        <v>4.5</v>
      </c>
      <c r="H289" s="21" t="s">
        <v>243</v>
      </c>
      <c r="I289" s="23">
        <v>1</v>
      </c>
      <c r="J289" s="24">
        <v>48.32</v>
      </c>
      <c r="K289" s="32">
        <v>5.36</v>
      </c>
      <c r="L289" s="24">
        <v>10.74</v>
      </c>
      <c r="M289" s="34"/>
      <c r="N289" s="34"/>
      <c r="O289" s="22" t="str">
        <f>IF(ISNA(VLOOKUP(Table_master_data[[#This Row],[Pick]],Table2[#All],2,FALSE)),"-",VLOOKUP(Table_master_data[[#This Row],[Pick]],Table2[#All],2,FALSE))</f>
        <v>-</v>
      </c>
      <c r="P289" s="22"/>
    </row>
    <row r="290" spans="2:16" x14ac:dyDescent="0.25">
      <c r="B290" s="21">
        <v>588</v>
      </c>
      <c r="C290" s="21" t="s">
        <v>748</v>
      </c>
      <c r="D290" s="21" t="s">
        <v>179</v>
      </c>
      <c r="E290" s="21" t="s">
        <v>192</v>
      </c>
      <c r="F290" s="25">
        <v>34</v>
      </c>
      <c r="G290" s="26">
        <v>5.5</v>
      </c>
      <c r="H290" s="21" t="s">
        <v>243</v>
      </c>
      <c r="I290" s="23">
        <v>1</v>
      </c>
      <c r="J290" s="24">
        <v>47.67</v>
      </c>
      <c r="K290" s="32">
        <v>6.0500000000000007</v>
      </c>
      <c r="L290" s="24">
        <v>8.67</v>
      </c>
      <c r="M290" s="34"/>
      <c r="N290" s="34"/>
      <c r="O290" s="22" t="str">
        <f>IF(ISNA(VLOOKUP(Table_master_data[[#This Row],[Pick]],Table2[#All],2,FALSE)),"-",VLOOKUP(Table_master_data[[#This Row],[Pick]],Table2[#All],2,FALSE))</f>
        <v>-</v>
      </c>
      <c r="P290" s="22"/>
    </row>
    <row r="291" spans="2:16" x14ac:dyDescent="0.25">
      <c r="B291" s="21">
        <v>404</v>
      </c>
      <c r="C291" s="21" t="s">
        <v>299</v>
      </c>
      <c r="D291" s="21" t="s">
        <v>181</v>
      </c>
      <c r="E291" s="21" t="s">
        <v>184</v>
      </c>
      <c r="F291" s="25">
        <v>61</v>
      </c>
      <c r="G291" s="26">
        <v>5.5</v>
      </c>
      <c r="H291" s="21" t="s">
        <v>243</v>
      </c>
      <c r="I291" s="23">
        <v>1</v>
      </c>
      <c r="J291" s="24">
        <v>45.45</v>
      </c>
      <c r="K291" s="32">
        <v>4.62</v>
      </c>
      <c r="L291" s="24">
        <v>8.26</v>
      </c>
      <c r="M291" s="34"/>
      <c r="N291" s="34"/>
      <c r="O291" s="22" t="str">
        <f>IF(ISNA(VLOOKUP(Table_master_data[[#This Row],[Pick]],Table2[#All],2,FALSE)),"-",VLOOKUP(Table_master_data[[#This Row],[Pick]],Table2[#All],2,FALSE))</f>
        <v>-</v>
      </c>
      <c r="P291" s="22"/>
    </row>
    <row r="292" spans="2:16" x14ac:dyDescent="0.25">
      <c r="B292" s="21">
        <v>350</v>
      </c>
      <c r="C292" s="21" t="s">
        <v>679</v>
      </c>
      <c r="D292" s="21" t="s">
        <v>179</v>
      </c>
      <c r="E292" s="21" t="s">
        <v>815</v>
      </c>
      <c r="F292" s="25">
        <v>0</v>
      </c>
      <c r="G292" s="26">
        <v>5.5</v>
      </c>
      <c r="H292" s="21" t="s">
        <v>243</v>
      </c>
      <c r="I292" s="23">
        <v>1</v>
      </c>
      <c r="J292" s="24">
        <v>45.31</v>
      </c>
      <c r="K292" s="32">
        <v>4.18</v>
      </c>
      <c r="L292" s="24">
        <v>8.24</v>
      </c>
      <c r="M292" s="34"/>
      <c r="N292" s="34"/>
      <c r="O292" s="22" t="str">
        <f>IF(ISNA(VLOOKUP(Table_master_data[[#This Row],[Pick]],Table2[#All],2,FALSE)),"-",VLOOKUP(Table_master_data[[#This Row],[Pick]],Table2[#All],2,FALSE))</f>
        <v>-</v>
      </c>
      <c r="P292" s="22"/>
    </row>
    <row r="293" spans="2:16" x14ac:dyDescent="0.25">
      <c r="B293" s="21">
        <v>300</v>
      </c>
      <c r="C293" s="21" t="s">
        <v>296</v>
      </c>
      <c r="D293" s="21" t="s">
        <v>179</v>
      </c>
      <c r="E293" s="21" t="s">
        <v>185</v>
      </c>
      <c r="F293" s="25">
        <v>93</v>
      </c>
      <c r="G293" s="26">
        <v>6</v>
      </c>
      <c r="H293" s="21" t="s">
        <v>243</v>
      </c>
      <c r="I293" s="23">
        <v>1</v>
      </c>
      <c r="J293" s="24">
        <v>45.09</v>
      </c>
      <c r="K293" s="32">
        <v>6.6899999999999995</v>
      </c>
      <c r="L293" s="24">
        <v>7.51</v>
      </c>
      <c r="M293" s="34">
        <v>5</v>
      </c>
      <c r="N293" s="34"/>
      <c r="O293" s="22" t="str">
        <f>IF(ISNA(VLOOKUP(Table_master_data[[#This Row],[Pick]],Table2[#All],2,FALSE)),"-",VLOOKUP(Table_master_data[[#This Row],[Pick]],Table2[#All],2,FALSE))</f>
        <v>Solid MID/Premium DEF</v>
      </c>
      <c r="P293" s="22"/>
    </row>
    <row r="294" spans="2:16" x14ac:dyDescent="0.25">
      <c r="B294" s="21">
        <v>202</v>
      </c>
      <c r="C294" s="21" t="s">
        <v>582</v>
      </c>
      <c r="D294" s="21" t="s">
        <v>179</v>
      </c>
      <c r="E294" s="21" t="s">
        <v>508</v>
      </c>
      <c r="F294" s="25">
        <v>0</v>
      </c>
      <c r="G294" s="26">
        <v>5.5</v>
      </c>
      <c r="H294" s="21" t="s">
        <v>243</v>
      </c>
      <c r="I294" s="23">
        <v>1</v>
      </c>
      <c r="J294" s="24">
        <v>44.92</v>
      </c>
      <c r="K294" s="32">
        <v>4.6899999999999995</v>
      </c>
      <c r="L294" s="24">
        <v>8.17</v>
      </c>
      <c r="M294" s="34"/>
      <c r="N294" s="34"/>
      <c r="O294" s="22" t="str">
        <f>IF(ISNA(VLOOKUP(Table_master_data[[#This Row],[Pick]],Table2[#All],2,FALSE)),"-",VLOOKUP(Table_master_data[[#This Row],[Pick]],Table2[#All],2,FALSE))</f>
        <v>-</v>
      </c>
      <c r="P294" s="22"/>
    </row>
    <row r="295" spans="2:16" x14ac:dyDescent="0.25">
      <c r="B295" s="21">
        <v>18</v>
      </c>
      <c r="C295" s="21" t="s">
        <v>323</v>
      </c>
      <c r="D295" s="21" t="s">
        <v>179</v>
      </c>
      <c r="E295" s="21" t="s">
        <v>194</v>
      </c>
      <c r="F295" s="25">
        <v>120</v>
      </c>
      <c r="G295" s="26">
        <v>7</v>
      </c>
      <c r="H295" s="21" t="s">
        <v>243</v>
      </c>
      <c r="I295" s="23">
        <v>1</v>
      </c>
      <c r="J295" s="24">
        <v>44.21</v>
      </c>
      <c r="K295" s="32">
        <v>5.75</v>
      </c>
      <c r="L295" s="24">
        <v>6.32</v>
      </c>
      <c r="M295" s="34"/>
      <c r="N295" s="34"/>
      <c r="O295" s="22" t="str">
        <f>IF(ISNA(VLOOKUP(Table_master_data[[#This Row],[Pick]],Table2[#All],2,FALSE)),"-",VLOOKUP(Table_master_data[[#This Row],[Pick]],Table2[#All],2,FALSE))</f>
        <v>-</v>
      </c>
      <c r="P295" s="22"/>
    </row>
    <row r="296" spans="2:16" x14ac:dyDescent="0.25">
      <c r="B296" s="21">
        <v>301</v>
      </c>
      <c r="C296" s="21" t="s">
        <v>470</v>
      </c>
      <c r="D296" s="21" t="s">
        <v>179</v>
      </c>
      <c r="E296" s="21" t="s">
        <v>185</v>
      </c>
      <c r="F296" s="25">
        <v>44</v>
      </c>
      <c r="G296" s="26">
        <v>5.5</v>
      </c>
      <c r="H296" s="21" t="s">
        <v>243</v>
      </c>
      <c r="I296" s="23">
        <v>1</v>
      </c>
      <c r="J296" s="24">
        <v>43.75</v>
      </c>
      <c r="K296" s="32">
        <v>7.22</v>
      </c>
      <c r="L296" s="24">
        <v>7.96</v>
      </c>
      <c r="M296" s="34"/>
      <c r="N296" s="34"/>
      <c r="O296" s="22" t="str">
        <f>IF(ISNA(VLOOKUP(Table_master_data[[#This Row],[Pick]],Table2[#All],2,FALSE)),"-",VLOOKUP(Table_master_data[[#This Row],[Pick]],Table2[#All],2,FALSE))</f>
        <v>-</v>
      </c>
      <c r="P296" s="22"/>
    </row>
    <row r="297" spans="2:16" x14ac:dyDescent="0.25">
      <c r="B297" s="21">
        <v>209</v>
      </c>
      <c r="C297" s="21" t="s">
        <v>574</v>
      </c>
      <c r="D297" s="21" t="s">
        <v>179</v>
      </c>
      <c r="E297" s="21" t="s">
        <v>508</v>
      </c>
      <c r="F297" s="25">
        <v>0</v>
      </c>
      <c r="G297" s="26">
        <v>5</v>
      </c>
      <c r="H297" s="21" t="s">
        <v>243</v>
      </c>
      <c r="I297" s="23">
        <v>1</v>
      </c>
      <c r="J297" s="24">
        <v>43.24</v>
      </c>
      <c r="K297" s="32">
        <v>9.82</v>
      </c>
      <c r="L297" s="24">
        <v>8.65</v>
      </c>
      <c r="M297" s="34"/>
      <c r="N297" s="34"/>
      <c r="O297" s="22" t="str">
        <f>IF(ISNA(VLOOKUP(Table_master_data[[#This Row],[Pick]],Table2[#All],2,FALSE)),"-",VLOOKUP(Table_master_data[[#This Row],[Pick]],Table2[#All],2,FALSE))</f>
        <v>-</v>
      </c>
      <c r="P297" s="22"/>
    </row>
    <row r="298" spans="2:16" x14ac:dyDescent="0.25">
      <c r="B298" s="21">
        <v>186</v>
      </c>
      <c r="C298" s="21" t="s">
        <v>636</v>
      </c>
      <c r="D298" s="21" t="s">
        <v>181</v>
      </c>
      <c r="E298" s="21" t="s">
        <v>508</v>
      </c>
      <c r="F298" s="25">
        <v>0</v>
      </c>
      <c r="G298" s="26">
        <v>4.5</v>
      </c>
      <c r="H298" s="21" t="s">
        <v>243</v>
      </c>
      <c r="I298" s="23">
        <v>1</v>
      </c>
      <c r="J298" s="24">
        <v>42.95</v>
      </c>
      <c r="K298" s="32">
        <v>4.7300000000000004</v>
      </c>
      <c r="L298" s="24">
        <v>9.5399999999999991</v>
      </c>
      <c r="M298" s="34"/>
      <c r="N298" s="34"/>
      <c r="O298" s="22" t="str">
        <f>IF(ISNA(VLOOKUP(Table_master_data[[#This Row],[Pick]],Table2[#All],2,FALSE)),"-",VLOOKUP(Table_master_data[[#This Row],[Pick]],Table2[#All],2,FALSE))</f>
        <v>-</v>
      </c>
      <c r="P298" s="22"/>
    </row>
    <row r="299" spans="2:16" x14ac:dyDescent="0.25">
      <c r="B299" s="21">
        <v>518</v>
      </c>
      <c r="C299" s="21" t="s">
        <v>737</v>
      </c>
      <c r="D299" s="21" t="s">
        <v>179</v>
      </c>
      <c r="E299" s="21" t="s">
        <v>374</v>
      </c>
      <c r="F299" s="25">
        <v>52</v>
      </c>
      <c r="G299" s="26">
        <v>5.5</v>
      </c>
      <c r="H299" s="21" t="s">
        <v>243</v>
      </c>
      <c r="I299" s="23">
        <v>1</v>
      </c>
      <c r="J299" s="24">
        <v>42.89</v>
      </c>
      <c r="K299" s="32">
        <v>5.8900000000000006</v>
      </c>
      <c r="L299" s="24">
        <v>7.8</v>
      </c>
      <c r="M299" s="34"/>
      <c r="N299" s="34"/>
      <c r="O299" s="22" t="str">
        <f>IF(ISNA(VLOOKUP(Table_master_data[[#This Row],[Pick]],Table2[#All],2,FALSE)),"-",VLOOKUP(Table_master_data[[#This Row],[Pick]],Table2[#All],2,FALSE))</f>
        <v>-</v>
      </c>
      <c r="P299" s="22"/>
    </row>
    <row r="300" spans="2:16" x14ac:dyDescent="0.25">
      <c r="B300" s="21">
        <v>548</v>
      </c>
      <c r="C300" s="21" t="s">
        <v>778</v>
      </c>
      <c r="D300" s="21" t="s">
        <v>179</v>
      </c>
      <c r="E300" s="21" t="s">
        <v>802</v>
      </c>
      <c r="F300" s="25">
        <v>0</v>
      </c>
      <c r="G300" s="26">
        <v>5</v>
      </c>
      <c r="H300" s="21" t="s">
        <v>251</v>
      </c>
      <c r="I300" s="23">
        <v>0</v>
      </c>
      <c r="J300" s="24">
        <v>42.61</v>
      </c>
      <c r="K300" s="32">
        <v>4.1800000000000006</v>
      </c>
      <c r="L300" s="24">
        <v>8.52</v>
      </c>
      <c r="M300" s="34"/>
      <c r="N300" s="34"/>
      <c r="O300" s="22" t="str">
        <f>IF(ISNA(VLOOKUP(Table_master_data[[#This Row],[Pick]],Table2[#All],2,FALSE)),"-",VLOOKUP(Table_master_data[[#This Row],[Pick]],Table2[#All],2,FALSE))</f>
        <v>-</v>
      </c>
      <c r="P300" s="22"/>
    </row>
    <row r="301" spans="2:16" x14ac:dyDescent="0.25">
      <c r="B301" s="21">
        <v>326</v>
      </c>
      <c r="C301" s="21" t="s">
        <v>431</v>
      </c>
      <c r="D301" s="21" t="s">
        <v>179</v>
      </c>
      <c r="E301" s="21" t="s">
        <v>189</v>
      </c>
      <c r="F301" s="25">
        <v>95</v>
      </c>
      <c r="G301" s="26">
        <v>5.5</v>
      </c>
      <c r="H301" s="21" t="s">
        <v>243</v>
      </c>
      <c r="I301" s="23">
        <v>1</v>
      </c>
      <c r="J301" s="24">
        <v>41.75</v>
      </c>
      <c r="K301" s="32">
        <v>4.51</v>
      </c>
      <c r="L301" s="24">
        <v>7.59</v>
      </c>
      <c r="M301" s="34"/>
      <c r="N301" s="34"/>
      <c r="O301" s="22" t="str">
        <f>IF(ISNA(VLOOKUP(Table_master_data[[#This Row],[Pick]],Table2[#All],2,FALSE)),"-",VLOOKUP(Table_master_data[[#This Row],[Pick]],Table2[#All],2,FALSE))</f>
        <v>-</v>
      </c>
      <c r="P301" s="22"/>
    </row>
    <row r="302" spans="2:16" x14ac:dyDescent="0.25">
      <c r="B302" s="21">
        <v>443</v>
      </c>
      <c r="C302" s="21" t="s">
        <v>58</v>
      </c>
      <c r="D302" s="21" t="s">
        <v>181</v>
      </c>
      <c r="E302" s="21" t="s">
        <v>193</v>
      </c>
      <c r="F302" s="25">
        <v>5</v>
      </c>
      <c r="G302" s="26">
        <v>4.5</v>
      </c>
      <c r="H302" s="21" t="s">
        <v>243</v>
      </c>
      <c r="I302" s="23">
        <v>1</v>
      </c>
      <c r="J302" s="24">
        <v>40.47</v>
      </c>
      <c r="K302" s="32">
        <v>9.16</v>
      </c>
      <c r="L302" s="24">
        <v>8.99</v>
      </c>
      <c r="M302" s="34"/>
      <c r="N302" s="34"/>
      <c r="O302" s="22" t="str">
        <f>IF(ISNA(VLOOKUP(Table_master_data[[#This Row],[Pick]],Table2[#All],2,FALSE)),"-",VLOOKUP(Table_master_data[[#This Row],[Pick]],Table2[#All],2,FALSE))</f>
        <v>-</v>
      </c>
      <c r="P302" s="22"/>
    </row>
    <row r="303" spans="2:16" x14ac:dyDescent="0.25">
      <c r="B303" s="21">
        <v>547</v>
      </c>
      <c r="C303" s="21" t="s">
        <v>803</v>
      </c>
      <c r="D303" s="21" t="s">
        <v>179</v>
      </c>
      <c r="E303" s="21" t="s">
        <v>802</v>
      </c>
      <c r="F303" s="25">
        <v>0</v>
      </c>
      <c r="G303" s="26">
        <v>5</v>
      </c>
      <c r="H303" s="21" t="s">
        <v>243</v>
      </c>
      <c r="I303" s="23">
        <v>1</v>
      </c>
      <c r="J303" s="24">
        <v>40.4</v>
      </c>
      <c r="K303" s="32">
        <v>5.22</v>
      </c>
      <c r="L303" s="24">
        <v>8.08</v>
      </c>
      <c r="M303" s="34"/>
      <c r="N303" s="34"/>
      <c r="O303" s="22" t="str">
        <f>IF(ISNA(VLOOKUP(Table_master_data[[#This Row],[Pick]],Table2[#All],2,FALSE)),"-",VLOOKUP(Table_master_data[[#This Row],[Pick]],Table2[#All],2,FALSE))</f>
        <v>-</v>
      </c>
      <c r="P303" s="22"/>
    </row>
    <row r="304" spans="2:16" x14ac:dyDescent="0.25">
      <c r="B304" s="21">
        <v>671</v>
      </c>
      <c r="C304" s="21" t="s">
        <v>19</v>
      </c>
      <c r="D304" s="21" t="s">
        <v>178</v>
      </c>
      <c r="E304" s="21" t="s">
        <v>372</v>
      </c>
      <c r="F304" s="25">
        <v>0</v>
      </c>
      <c r="G304" s="26">
        <v>6</v>
      </c>
      <c r="H304" s="21" t="s">
        <v>243</v>
      </c>
      <c r="I304" s="23">
        <v>1</v>
      </c>
      <c r="J304" s="24">
        <v>40.33</v>
      </c>
      <c r="K304" s="32">
        <v>4.3800000000000008</v>
      </c>
      <c r="L304" s="24">
        <v>6.72</v>
      </c>
      <c r="M304" s="34"/>
      <c r="N304" s="34"/>
      <c r="O304" s="22" t="str">
        <f>IF(ISNA(VLOOKUP(Table_master_data[[#This Row],[Pick]],Table2[#All],2,FALSE)),"-",VLOOKUP(Table_master_data[[#This Row],[Pick]],Table2[#All],2,FALSE))</f>
        <v>-</v>
      </c>
      <c r="P304" s="22"/>
    </row>
    <row r="305" spans="2:16" x14ac:dyDescent="0.25">
      <c r="B305" s="21">
        <v>478</v>
      </c>
      <c r="C305" s="21" t="s">
        <v>52</v>
      </c>
      <c r="D305" s="21" t="s">
        <v>181</v>
      </c>
      <c r="E305" s="21" t="s">
        <v>186</v>
      </c>
      <c r="F305" s="25">
        <v>72</v>
      </c>
      <c r="G305" s="26">
        <v>5</v>
      </c>
      <c r="H305" s="21" t="s">
        <v>243</v>
      </c>
      <c r="I305" s="23">
        <v>1</v>
      </c>
      <c r="J305" s="24">
        <v>39.65</v>
      </c>
      <c r="K305" s="32">
        <v>10.95</v>
      </c>
      <c r="L305" s="24">
        <v>7.93</v>
      </c>
      <c r="M305" s="34"/>
      <c r="N305" s="34"/>
      <c r="O305" s="22" t="str">
        <f>IF(ISNA(VLOOKUP(Table_master_data[[#This Row],[Pick]],Table2[#All],2,FALSE)),"-",VLOOKUP(Table_master_data[[#This Row],[Pick]],Table2[#All],2,FALSE))</f>
        <v>-</v>
      </c>
      <c r="P305" s="22"/>
    </row>
    <row r="306" spans="2:16" x14ac:dyDescent="0.25">
      <c r="B306" s="21">
        <v>442</v>
      </c>
      <c r="C306" s="21" t="s">
        <v>63</v>
      </c>
      <c r="D306" s="21" t="s">
        <v>181</v>
      </c>
      <c r="E306" s="21" t="s">
        <v>193</v>
      </c>
      <c r="F306" s="25">
        <v>48</v>
      </c>
      <c r="G306" s="26">
        <v>4.5</v>
      </c>
      <c r="H306" s="21" t="s">
        <v>243</v>
      </c>
      <c r="I306" s="23">
        <v>1</v>
      </c>
      <c r="J306" s="24">
        <v>39.299999999999997</v>
      </c>
      <c r="K306" s="32">
        <v>4.3899999999999997</v>
      </c>
      <c r="L306" s="24">
        <v>8.73</v>
      </c>
      <c r="M306" s="34"/>
      <c r="N306" s="34"/>
      <c r="O306" s="22" t="str">
        <f>IF(ISNA(VLOOKUP(Table_master_data[[#This Row],[Pick]],Table2[#All],2,FALSE)),"-",VLOOKUP(Table_master_data[[#This Row],[Pick]],Table2[#All],2,FALSE))</f>
        <v>-</v>
      </c>
      <c r="P306" s="22"/>
    </row>
    <row r="307" spans="2:16" x14ac:dyDescent="0.25">
      <c r="B307" s="21">
        <v>22</v>
      </c>
      <c r="C307" s="21" t="s">
        <v>627</v>
      </c>
      <c r="D307" s="21" t="s">
        <v>179</v>
      </c>
      <c r="E307" s="21" t="s">
        <v>194</v>
      </c>
      <c r="F307" s="25">
        <v>92</v>
      </c>
      <c r="G307" s="26">
        <v>6</v>
      </c>
      <c r="H307" s="21" t="s">
        <v>243</v>
      </c>
      <c r="I307" s="23">
        <v>1</v>
      </c>
      <c r="J307" s="24">
        <v>39.29</v>
      </c>
      <c r="K307" s="32">
        <v>4.47</v>
      </c>
      <c r="L307" s="24">
        <v>6.55</v>
      </c>
      <c r="M307" s="34"/>
      <c r="N307" s="34"/>
      <c r="O307" s="22" t="str">
        <f>IF(ISNA(VLOOKUP(Table_master_data[[#This Row],[Pick]],Table2[#All],2,FALSE)),"-",VLOOKUP(Table_master_data[[#This Row],[Pick]],Table2[#All],2,FALSE))</f>
        <v>-</v>
      </c>
      <c r="P307" s="22"/>
    </row>
    <row r="308" spans="2:16" x14ac:dyDescent="0.25">
      <c r="B308" s="21">
        <v>269</v>
      </c>
      <c r="C308" s="21" t="s">
        <v>597</v>
      </c>
      <c r="D308" s="21" t="s">
        <v>179</v>
      </c>
      <c r="E308" s="21" t="s">
        <v>188</v>
      </c>
      <c r="F308" s="25">
        <v>22</v>
      </c>
      <c r="G308" s="26">
        <v>5</v>
      </c>
      <c r="H308" s="21" t="s">
        <v>243</v>
      </c>
      <c r="I308" s="23">
        <v>1</v>
      </c>
      <c r="J308" s="24">
        <v>39.119999999999997</v>
      </c>
      <c r="K308" s="32">
        <v>5.0200000000000005</v>
      </c>
      <c r="L308" s="24">
        <v>7.82</v>
      </c>
      <c r="M308" s="34"/>
      <c r="N308" s="34"/>
      <c r="O308" s="22" t="str">
        <f>IF(ISNA(VLOOKUP(Table_master_data[[#This Row],[Pick]],Table2[#All],2,FALSE)),"-",VLOOKUP(Table_master_data[[#This Row],[Pick]],Table2[#All],2,FALSE))</f>
        <v>-</v>
      </c>
      <c r="P308" s="22"/>
    </row>
    <row r="309" spans="2:16" x14ac:dyDescent="0.25">
      <c r="B309" s="21">
        <v>206</v>
      </c>
      <c r="C309" s="21" t="s">
        <v>467</v>
      </c>
      <c r="D309" s="21" t="s">
        <v>179</v>
      </c>
      <c r="E309" s="21" t="s">
        <v>508</v>
      </c>
      <c r="F309" s="25">
        <v>0</v>
      </c>
      <c r="G309" s="26">
        <v>5</v>
      </c>
      <c r="H309" s="21" t="s">
        <v>243</v>
      </c>
      <c r="I309" s="23">
        <v>1</v>
      </c>
      <c r="J309" s="24">
        <v>38.93</v>
      </c>
      <c r="K309" s="32">
        <v>4.6100000000000003</v>
      </c>
      <c r="L309" s="24">
        <v>7.79</v>
      </c>
      <c r="M309" s="34"/>
      <c r="N309" s="34"/>
      <c r="O309" s="22" t="str">
        <f>IF(ISNA(VLOOKUP(Table_master_data[[#This Row],[Pick]],Table2[#All],2,FALSE)),"-",VLOOKUP(Table_master_data[[#This Row],[Pick]],Table2[#All],2,FALSE))</f>
        <v>-</v>
      </c>
      <c r="P309" s="22"/>
    </row>
    <row r="310" spans="2:16" x14ac:dyDescent="0.25">
      <c r="B310" s="21">
        <v>635</v>
      </c>
      <c r="C310" s="21" t="s">
        <v>494</v>
      </c>
      <c r="D310" s="21" t="s">
        <v>181</v>
      </c>
      <c r="E310" s="21" t="s">
        <v>182</v>
      </c>
      <c r="F310" s="25">
        <v>42</v>
      </c>
      <c r="G310" s="26">
        <v>4.5</v>
      </c>
      <c r="H310" s="21" t="s">
        <v>243</v>
      </c>
      <c r="I310" s="23">
        <v>1</v>
      </c>
      <c r="J310" s="24">
        <v>38.92</v>
      </c>
      <c r="K310" s="32">
        <v>3.9000000000000004</v>
      </c>
      <c r="L310" s="24">
        <v>8.65</v>
      </c>
      <c r="M310" s="34">
        <v>11</v>
      </c>
      <c r="N310" s="34"/>
      <c r="O310" s="22" t="str">
        <f>IF(ISNA(VLOOKUP(Table_master_data[[#This Row],[Pick]],Table2[#All],2,FALSE)),"-",VLOOKUP(Table_master_data[[#This Row],[Pick]],Table2[#All],2,FALSE))</f>
        <v>Solid DEF</v>
      </c>
      <c r="P310" s="22"/>
    </row>
    <row r="311" spans="2:16" x14ac:dyDescent="0.25">
      <c r="B311" s="21">
        <v>284</v>
      </c>
      <c r="C311" s="21" t="s">
        <v>125</v>
      </c>
      <c r="D311" s="21" t="s">
        <v>178</v>
      </c>
      <c r="E311" s="21" t="s">
        <v>188</v>
      </c>
      <c r="F311" s="25">
        <v>53</v>
      </c>
      <c r="G311" s="26">
        <v>5.5</v>
      </c>
      <c r="H311" s="21" t="s">
        <v>251</v>
      </c>
      <c r="I311" s="23">
        <v>0</v>
      </c>
      <c r="J311" s="24">
        <v>38.86</v>
      </c>
      <c r="K311" s="32">
        <v>4.01</v>
      </c>
      <c r="L311" s="24">
        <v>7.07</v>
      </c>
      <c r="M311" s="34"/>
      <c r="N311" s="34"/>
      <c r="O311" s="22" t="str">
        <f>IF(ISNA(VLOOKUP(Table_master_data[[#This Row],[Pick]],Table2[#All],2,FALSE)),"-",VLOOKUP(Table_master_data[[#This Row],[Pick]],Table2[#All],2,FALSE))</f>
        <v>-</v>
      </c>
      <c r="P311" s="22"/>
    </row>
    <row r="312" spans="2:16" x14ac:dyDescent="0.25">
      <c r="B312" s="21">
        <v>389</v>
      </c>
      <c r="C312" s="21" t="s">
        <v>144</v>
      </c>
      <c r="D312" s="21" t="s">
        <v>179</v>
      </c>
      <c r="E312" s="21" t="s">
        <v>180</v>
      </c>
      <c r="F312" s="25">
        <v>33</v>
      </c>
      <c r="G312" s="26">
        <v>5.5</v>
      </c>
      <c r="H312" s="21" t="s">
        <v>243</v>
      </c>
      <c r="I312" s="23">
        <v>1</v>
      </c>
      <c r="J312" s="24">
        <v>37.799999999999997</v>
      </c>
      <c r="K312" s="32">
        <v>4.0500000000000007</v>
      </c>
      <c r="L312" s="24">
        <v>6.87</v>
      </c>
      <c r="M312" s="34"/>
      <c r="N312" s="34"/>
      <c r="O312" s="22" t="str">
        <f>IF(ISNA(VLOOKUP(Table_master_data[[#This Row],[Pick]],Table2[#All],2,FALSE)),"-",VLOOKUP(Table_master_data[[#This Row],[Pick]],Table2[#All],2,FALSE))</f>
        <v>-</v>
      </c>
      <c r="P312" s="22"/>
    </row>
    <row r="313" spans="2:16" x14ac:dyDescent="0.25">
      <c r="B313" s="21">
        <v>59</v>
      </c>
      <c r="C313" s="21" t="s">
        <v>330</v>
      </c>
      <c r="D313" s="21" t="s">
        <v>179</v>
      </c>
      <c r="E313" s="21" t="s">
        <v>191</v>
      </c>
      <c r="F313" s="25">
        <v>65</v>
      </c>
      <c r="G313" s="26">
        <v>5</v>
      </c>
      <c r="H313" s="21" t="s">
        <v>243</v>
      </c>
      <c r="I313" s="23">
        <v>1</v>
      </c>
      <c r="J313" s="24">
        <v>37.799999999999997</v>
      </c>
      <c r="K313" s="32">
        <v>4.3600000000000003</v>
      </c>
      <c r="L313" s="24">
        <v>7.56</v>
      </c>
      <c r="M313" s="34"/>
      <c r="N313" s="34"/>
      <c r="O313" s="22" t="str">
        <f>IF(ISNA(VLOOKUP(Table_master_data[[#This Row],[Pick]],Table2[#All],2,FALSE)),"-",VLOOKUP(Table_master_data[[#This Row],[Pick]],Table2[#All],2,FALSE))</f>
        <v>-</v>
      </c>
      <c r="P313" s="22"/>
    </row>
    <row r="314" spans="2:16" x14ac:dyDescent="0.25">
      <c r="B314" s="21">
        <v>250</v>
      </c>
      <c r="C314" s="21" t="s">
        <v>435</v>
      </c>
      <c r="D314" s="21" t="s">
        <v>178</v>
      </c>
      <c r="E314" s="21" t="s">
        <v>187</v>
      </c>
      <c r="F314" s="25">
        <v>132</v>
      </c>
      <c r="G314" s="26">
        <v>6.5</v>
      </c>
      <c r="H314" s="21" t="s">
        <v>243</v>
      </c>
      <c r="I314" s="23">
        <v>1</v>
      </c>
      <c r="J314" s="24">
        <v>37.71</v>
      </c>
      <c r="K314" s="32">
        <v>4.4399999999999995</v>
      </c>
      <c r="L314" s="24">
        <v>5.8</v>
      </c>
      <c r="M314" s="34"/>
      <c r="N314" s="34"/>
      <c r="O314" s="22" t="str">
        <f>IF(ISNA(VLOOKUP(Table_master_data[[#This Row],[Pick]],Table2[#All],2,FALSE)),"-",VLOOKUP(Table_master_data[[#This Row],[Pick]],Table2[#All],2,FALSE))</f>
        <v>-</v>
      </c>
      <c r="P314" s="22" t="s">
        <v>36</v>
      </c>
    </row>
    <row r="315" spans="2:16" x14ac:dyDescent="0.25">
      <c r="B315" s="21">
        <v>93</v>
      </c>
      <c r="C315" s="21" t="s">
        <v>542</v>
      </c>
      <c r="D315" s="21" t="s">
        <v>179</v>
      </c>
      <c r="E315" s="21" t="s">
        <v>190</v>
      </c>
      <c r="F315" s="25">
        <v>0</v>
      </c>
      <c r="G315" s="26">
        <v>4.5</v>
      </c>
      <c r="H315" s="21" t="s">
        <v>243</v>
      </c>
      <c r="I315" s="23">
        <v>1</v>
      </c>
      <c r="J315" s="24">
        <v>36.36</v>
      </c>
      <c r="K315" s="32">
        <v>8.9699999999999989</v>
      </c>
      <c r="L315" s="24">
        <v>8.08</v>
      </c>
      <c r="M315" s="34"/>
      <c r="N315" s="34"/>
      <c r="O315" s="22" t="str">
        <f>IF(ISNA(VLOOKUP(Table_master_data[[#This Row],[Pick]],Table2[#All],2,FALSE)),"-",VLOOKUP(Table_master_data[[#This Row],[Pick]],Table2[#All],2,FALSE))</f>
        <v>-</v>
      </c>
      <c r="P315" s="22"/>
    </row>
    <row r="316" spans="2:16" x14ac:dyDescent="0.25">
      <c r="B316" s="21">
        <v>163</v>
      </c>
      <c r="C316" s="21" t="s">
        <v>410</v>
      </c>
      <c r="D316" s="21" t="s">
        <v>179</v>
      </c>
      <c r="E316" s="21" t="s">
        <v>373</v>
      </c>
      <c r="F316" s="25">
        <v>89</v>
      </c>
      <c r="G316" s="26">
        <v>5.5</v>
      </c>
      <c r="H316" s="21" t="s">
        <v>243</v>
      </c>
      <c r="I316" s="23">
        <v>1</v>
      </c>
      <c r="J316" s="24">
        <v>36.24</v>
      </c>
      <c r="K316" s="32">
        <v>3.04</v>
      </c>
      <c r="L316" s="24">
        <v>6.59</v>
      </c>
      <c r="M316" s="34"/>
      <c r="N316" s="34"/>
      <c r="O316" s="22" t="str">
        <f>IF(ISNA(VLOOKUP(Table_master_data[[#This Row],[Pick]],Table2[#All],2,FALSE)),"-",VLOOKUP(Table_master_data[[#This Row],[Pick]],Table2[#All],2,FALSE))</f>
        <v>-</v>
      </c>
      <c r="P316" s="22"/>
    </row>
    <row r="317" spans="2:16" x14ac:dyDescent="0.25">
      <c r="B317" s="21">
        <v>618</v>
      </c>
      <c r="C317" s="21" t="s">
        <v>499</v>
      </c>
      <c r="D317" s="21" t="s">
        <v>179</v>
      </c>
      <c r="E317" s="21" t="s">
        <v>372</v>
      </c>
      <c r="F317" s="25">
        <v>36</v>
      </c>
      <c r="G317" s="26">
        <v>5</v>
      </c>
      <c r="H317" s="21" t="s">
        <v>243</v>
      </c>
      <c r="I317" s="23">
        <v>1</v>
      </c>
      <c r="J317" s="24">
        <v>36.08</v>
      </c>
      <c r="K317" s="32">
        <v>4.5600000000000005</v>
      </c>
      <c r="L317" s="24">
        <v>7.22</v>
      </c>
      <c r="M317" s="34"/>
      <c r="N317" s="34"/>
      <c r="O317" s="22" t="str">
        <f>IF(ISNA(VLOOKUP(Table_master_data[[#This Row],[Pick]],Table2[#All],2,FALSE)),"-",VLOOKUP(Table_master_data[[#This Row],[Pick]],Table2[#All],2,FALSE))</f>
        <v>-</v>
      </c>
      <c r="P317" s="22"/>
    </row>
    <row r="318" spans="2:16" x14ac:dyDescent="0.25">
      <c r="B318" s="21">
        <v>365</v>
      </c>
      <c r="C318" s="21" t="s">
        <v>673</v>
      </c>
      <c r="D318" s="21" t="s">
        <v>178</v>
      </c>
      <c r="E318" s="21" t="s">
        <v>815</v>
      </c>
      <c r="F318" s="25">
        <v>0</v>
      </c>
      <c r="G318" s="26">
        <v>5</v>
      </c>
      <c r="H318" s="21" t="s">
        <v>243</v>
      </c>
      <c r="I318" s="23">
        <v>1</v>
      </c>
      <c r="J318" s="24">
        <v>35.78</v>
      </c>
      <c r="K318" s="32">
        <v>3.86</v>
      </c>
      <c r="L318" s="24">
        <v>7.16</v>
      </c>
      <c r="M318" s="34"/>
      <c r="N318" s="34"/>
      <c r="O318" s="22" t="str">
        <f>IF(ISNA(VLOOKUP(Table_master_data[[#This Row],[Pick]],Table2[#All],2,FALSE)),"-",VLOOKUP(Table_master_data[[#This Row],[Pick]],Table2[#All],2,FALSE))</f>
        <v>-</v>
      </c>
      <c r="P318" s="22"/>
    </row>
    <row r="319" spans="2:16" x14ac:dyDescent="0.25">
      <c r="B319" s="21">
        <v>423</v>
      </c>
      <c r="C319" s="21" t="s">
        <v>710</v>
      </c>
      <c r="D319" s="21" t="s">
        <v>179</v>
      </c>
      <c r="E319" s="21" t="s">
        <v>184</v>
      </c>
      <c r="F319" s="25">
        <v>31</v>
      </c>
      <c r="G319" s="26">
        <v>6</v>
      </c>
      <c r="H319" s="21" t="s">
        <v>243</v>
      </c>
      <c r="I319" s="23">
        <v>1</v>
      </c>
      <c r="J319" s="24">
        <v>35.32</v>
      </c>
      <c r="K319" s="32">
        <v>4.41</v>
      </c>
      <c r="L319" s="24">
        <v>5.89</v>
      </c>
      <c r="M319" s="34"/>
      <c r="N319" s="34"/>
      <c r="O319" s="22" t="str">
        <f>IF(ISNA(VLOOKUP(Table_master_data[[#This Row],[Pick]],Table2[#All],2,FALSE)),"-",VLOOKUP(Table_master_data[[#This Row],[Pick]],Table2[#All],2,FALSE))</f>
        <v>-</v>
      </c>
      <c r="P319" s="22"/>
    </row>
    <row r="320" spans="2:16" x14ac:dyDescent="0.25">
      <c r="B320" s="21">
        <v>24</v>
      </c>
      <c r="C320" s="21" t="s">
        <v>538</v>
      </c>
      <c r="D320" s="21" t="s">
        <v>179</v>
      </c>
      <c r="E320" s="21" t="s">
        <v>194</v>
      </c>
      <c r="F320" s="25">
        <v>107</v>
      </c>
      <c r="G320" s="26">
        <v>5.5</v>
      </c>
      <c r="H320" s="21" t="s">
        <v>243</v>
      </c>
      <c r="I320" s="23">
        <v>1</v>
      </c>
      <c r="J320" s="24">
        <v>35.26</v>
      </c>
      <c r="K320" s="32">
        <v>4.62</v>
      </c>
      <c r="L320" s="24">
        <v>6.41</v>
      </c>
      <c r="M320" s="34"/>
      <c r="N320" s="34"/>
      <c r="O320" s="22" t="str">
        <f>IF(ISNA(VLOOKUP(Table_master_data[[#This Row],[Pick]],Table2[#All],2,FALSE)),"-",VLOOKUP(Table_master_data[[#This Row],[Pick]],Table2[#All],2,FALSE))</f>
        <v>-</v>
      </c>
      <c r="P320" s="22"/>
    </row>
    <row r="321" spans="2:16" x14ac:dyDescent="0.25">
      <c r="B321" s="21">
        <v>542</v>
      </c>
      <c r="C321" s="21" t="s">
        <v>762</v>
      </c>
      <c r="D321" s="21" t="s">
        <v>181</v>
      </c>
      <c r="E321" s="21" t="s">
        <v>802</v>
      </c>
      <c r="F321" s="25">
        <v>0</v>
      </c>
      <c r="G321" s="26">
        <v>4</v>
      </c>
      <c r="H321" s="21" t="s">
        <v>243</v>
      </c>
      <c r="I321" s="23">
        <v>1</v>
      </c>
      <c r="J321" s="24">
        <v>34.46</v>
      </c>
      <c r="K321" s="32">
        <v>9.86</v>
      </c>
      <c r="L321" s="24">
        <v>8.6199999999999992</v>
      </c>
      <c r="M321" s="34"/>
      <c r="N321" s="34"/>
      <c r="O321" s="22" t="str">
        <f>IF(ISNA(VLOOKUP(Table_master_data[[#This Row],[Pick]],Table2[#All],2,FALSE)),"-",VLOOKUP(Table_master_data[[#This Row],[Pick]],Table2[#All],2,FALSE))</f>
        <v>-</v>
      </c>
      <c r="P321" s="22"/>
    </row>
    <row r="322" spans="2:16" x14ac:dyDescent="0.25">
      <c r="B322" s="21">
        <v>98</v>
      </c>
      <c r="C322" s="21" t="s">
        <v>649</v>
      </c>
      <c r="D322" s="21" t="s">
        <v>178</v>
      </c>
      <c r="E322" s="21" t="s">
        <v>190</v>
      </c>
      <c r="F322" s="25">
        <v>32</v>
      </c>
      <c r="G322" s="26">
        <v>5.5</v>
      </c>
      <c r="H322" s="21" t="s">
        <v>251</v>
      </c>
      <c r="I322" s="23">
        <v>0</v>
      </c>
      <c r="J322" s="24">
        <v>34.35</v>
      </c>
      <c r="K322" s="32">
        <v>0.42000000000000004</v>
      </c>
      <c r="L322" s="24">
        <v>6.24</v>
      </c>
      <c r="M322" s="34"/>
      <c r="N322" s="34"/>
      <c r="O322" s="22" t="str">
        <f>IF(ISNA(VLOOKUP(Table_master_data[[#This Row],[Pick]],Table2[#All],2,FALSE)),"-",VLOOKUP(Table_master_data[[#This Row],[Pick]],Table2[#All],2,FALSE))</f>
        <v>-</v>
      </c>
      <c r="P322" s="22"/>
    </row>
    <row r="323" spans="2:16" x14ac:dyDescent="0.25">
      <c r="B323" s="21">
        <v>197</v>
      </c>
      <c r="C323" s="21" t="s">
        <v>577</v>
      </c>
      <c r="D323" s="21" t="s">
        <v>181</v>
      </c>
      <c r="E323" s="21" t="s">
        <v>508</v>
      </c>
      <c r="F323" s="25">
        <v>0</v>
      </c>
      <c r="G323" s="26">
        <v>4</v>
      </c>
      <c r="H323" s="21" t="s">
        <v>243</v>
      </c>
      <c r="I323" s="23">
        <v>1</v>
      </c>
      <c r="J323" s="24">
        <v>33.67</v>
      </c>
      <c r="K323" s="32">
        <v>7.4899999999999993</v>
      </c>
      <c r="L323" s="24">
        <v>8.42</v>
      </c>
      <c r="M323" s="34"/>
      <c r="N323" s="34"/>
      <c r="O323" s="22" t="str">
        <f>IF(ISNA(VLOOKUP(Table_master_data[[#This Row],[Pick]],Table2[#All],2,FALSE)),"-",VLOOKUP(Table_master_data[[#This Row],[Pick]],Table2[#All],2,FALSE))</f>
        <v>-</v>
      </c>
      <c r="P323" s="22"/>
    </row>
    <row r="324" spans="2:16" x14ac:dyDescent="0.25">
      <c r="B324" s="21">
        <v>667</v>
      </c>
      <c r="C324" s="21" t="s">
        <v>615</v>
      </c>
      <c r="D324" s="21" t="s">
        <v>181</v>
      </c>
      <c r="E324" s="21" t="s">
        <v>185</v>
      </c>
      <c r="F324" s="25">
        <v>0</v>
      </c>
      <c r="G324" s="26">
        <v>4.5</v>
      </c>
      <c r="H324" s="21" t="s">
        <v>243</v>
      </c>
      <c r="I324" s="23">
        <v>1</v>
      </c>
      <c r="J324" s="24">
        <v>33.479999999999997</v>
      </c>
      <c r="K324" s="32">
        <v>6.7299999999999995</v>
      </c>
      <c r="L324" s="24">
        <v>7.44</v>
      </c>
      <c r="M324" s="34"/>
      <c r="N324" s="34"/>
      <c r="O324" s="22" t="str">
        <f>IF(ISNA(VLOOKUP(Table_master_data[[#This Row],[Pick]],Table2[#All],2,FALSE)),"-",VLOOKUP(Table_master_data[[#This Row],[Pick]],Table2[#All],2,FALSE))</f>
        <v>-</v>
      </c>
      <c r="P324" s="22"/>
    </row>
    <row r="325" spans="2:16" x14ac:dyDescent="0.25">
      <c r="B325" s="21">
        <v>79</v>
      </c>
      <c r="C325" s="21" t="s">
        <v>105</v>
      </c>
      <c r="D325" s="21" t="s">
        <v>181</v>
      </c>
      <c r="E325" s="21" t="s">
        <v>190</v>
      </c>
      <c r="F325" s="25">
        <v>0</v>
      </c>
      <c r="G325" s="26">
        <v>4</v>
      </c>
      <c r="H325" s="21" t="s">
        <v>243</v>
      </c>
      <c r="I325" s="23">
        <v>1</v>
      </c>
      <c r="J325" s="24">
        <v>32.46</v>
      </c>
      <c r="K325" s="32">
        <v>3.0199999999999996</v>
      </c>
      <c r="L325" s="24">
        <v>8.1199999999999992</v>
      </c>
      <c r="M325" s="34"/>
      <c r="N325" s="34"/>
      <c r="O325" s="22" t="str">
        <f>IF(ISNA(VLOOKUP(Table_master_data[[#This Row],[Pick]],Table2[#All],2,FALSE)),"-",VLOOKUP(Table_master_data[[#This Row],[Pick]],Table2[#All],2,FALSE))</f>
        <v>-</v>
      </c>
      <c r="P325" s="22"/>
    </row>
    <row r="326" spans="2:16" x14ac:dyDescent="0.25">
      <c r="B326" s="21">
        <v>447</v>
      </c>
      <c r="C326" s="21" t="s">
        <v>718</v>
      </c>
      <c r="D326" s="21" t="s">
        <v>181</v>
      </c>
      <c r="E326" s="21" t="s">
        <v>193</v>
      </c>
      <c r="F326" s="25">
        <v>10</v>
      </c>
      <c r="G326" s="26">
        <v>4</v>
      </c>
      <c r="H326" s="21" t="s">
        <v>243</v>
      </c>
      <c r="I326" s="23">
        <v>1</v>
      </c>
      <c r="J326" s="24">
        <v>31.55</v>
      </c>
      <c r="K326" s="32">
        <v>4.7299999999999995</v>
      </c>
      <c r="L326" s="24">
        <v>7.89</v>
      </c>
      <c r="M326" s="34"/>
      <c r="N326" s="34"/>
      <c r="O326" s="22" t="str">
        <f>IF(ISNA(VLOOKUP(Table_master_data[[#This Row],[Pick]],Table2[#All],2,FALSE)),"-",VLOOKUP(Table_master_data[[#This Row],[Pick]],Table2[#All],2,FALSE))</f>
        <v>-</v>
      </c>
      <c r="P326" s="22"/>
    </row>
    <row r="327" spans="2:16" x14ac:dyDescent="0.25">
      <c r="B327" s="21">
        <v>40</v>
      </c>
      <c r="C327" s="21" t="s">
        <v>74</v>
      </c>
      <c r="D327" s="21" t="s">
        <v>181</v>
      </c>
      <c r="E327" s="21" t="s">
        <v>191</v>
      </c>
      <c r="F327" s="25">
        <v>47</v>
      </c>
      <c r="G327" s="26">
        <v>4.5</v>
      </c>
      <c r="H327" s="21" t="s">
        <v>243</v>
      </c>
      <c r="I327" s="23">
        <v>1</v>
      </c>
      <c r="J327" s="24">
        <v>31.53</v>
      </c>
      <c r="K327" s="32">
        <v>3.98</v>
      </c>
      <c r="L327" s="24">
        <v>7.01</v>
      </c>
      <c r="M327" s="34"/>
      <c r="N327" s="34"/>
      <c r="O327" s="22" t="str">
        <f>IF(ISNA(VLOOKUP(Table_master_data[[#This Row],[Pick]],Table2[#All],2,FALSE)),"-",VLOOKUP(Table_master_data[[#This Row],[Pick]],Table2[#All],2,FALSE))</f>
        <v>-</v>
      </c>
      <c r="P327" s="22"/>
    </row>
    <row r="328" spans="2:16" x14ac:dyDescent="0.25">
      <c r="B328" s="21">
        <v>143</v>
      </c>
      <c r="C328" s="21" t="s">
        <v>620</v>
      </c>
      <c r="D328" s="21" t="s">
        <v>181</v>
      </c>
      <c r="E328" s="21" t="s">
        <v>373</v>
      </c>
      <c r="F328" s="25">
        <v>0</v>
      </c>
      <c r="G328" s="26">
        <v>4.5</v>
      </c>
      <c r="H328" s="21" t="s">
        <v>243</v>
      </c>
      <c r="I328" s="23">
        <v>1</v>
      </c>
      <c r="J328" s="24">
        <v>31.28</v>
      </c>
      <c r="K328" s="32">
        <v>3.56</v>
      </c>
      <c r="L328" s="24">
        <v>6.95</v>
      </c>
      <c r="M328" s="34"/>
      <c r="N328" s="34"/>
      <c r="O328" s="22" t="str">
        <f>IF(ISNA(VLOOKUP(Table_master_data[[#This Row],[Pick]],Table2[#All],2,FALSE)),"-",VLOOKUP(Table_master_data[[#This Row],[Pick]],Table2[#All],2,FALSE))</f>
        <v>-</v>
      </c>
      <c r="P328" s="22"/>
    </row>
    <row r="329" spans="2:16" x14ac:dyDescent="0.25">
      <c r="B329" s="21">
        <v>9</v>
      </c>
      <c r="C329" s="21" t="s">
        <v>270</v>
      </c>
      <c r="D329" s="21" t="s">
        <v>181</v>
      </c>
      <c r="E329" s="21" t="s">
        <v>194</v>
      </c>
      <c r="F329" s="25">
        <v>43</v>
      </c>
      <c r="G329" s="26">
        <v>5.5</v>
      </c>
      <c r="H329" s="21" t="s">
        <v>243</v>
      </c>
      <c r="I329" s="23">
        <v>1</v>
      </c>
      <c r="J329" s="24">
        <v>30.66</v>
      </c>
      <c r="K329" s="32">
        <v>3.53</v>
      </c>
      <c r="L329" s="24">
        <v>5.57</v>
      </c>
      <c r="M329" s="34"/>
      <c r="N329" s="34"/>
      <c r="O329" s="22" t="str">
        <f>IF(ISNA(VLOOKUP(Table_master_data[[#This Row],[Pick]],Table2[#All],2,FALSE)),"-",VLOOKUP(Table_master_data[[#This Row],[Pick]],Table2[#All],2,FALSE))</f>
        <v>-</v>
      </c>
      <c r="P329" s="22"/>
    </row>
    <row r="330" spans="2:16" x14ac:dyDescent="0.25">
      <c r="B330" s="21">
        <v>438</v>
      </c>
      <c r="C330" s="21" t="s">
        <v>506</v>
      </c>
      <c r="D330" s="21" t="s">
        <v>181</v>
      </c>
      <c r="E330" s="21" t="s">
        <v>193</v>
      </c>
      <c r="F330" s="25">
        <v>88</v>
      </c>
      <c r="G330" s="26">
        <v>5</v>
      </c>
      <c r="H330" s="21" t="s">
        <v>250</v>
      </c>
      <c r="I330" s="23">
        <v>0.5</v>
      </c>
      <c r="J330" s="24">
        <v>30.53</v>
      </c>
      <c r="K330" s="32">
        <v>1.7</v>
      </c>
      <c r="L330" s="24">
        <v>6.11</v>
      </c>
      <c r="M330" s="34"/>
      <c r="N330" s="34"/>
      <c r="O330" s="22" t="str">
        <f>IF(ISNA(VLOOKUP(Table_master_data[[#This Row],[Pick]],Table2[#All],2,FALSE)),"-",VLOOKUP(Table_master_data[[#This Row],[Pick]],Table2[#All],2,FALSE))</f>
        <v>-</v>
      </c>
      <c r="P330" s="22"/>
    </row>
    <row r="331" spans="2:16" x14ac:dyDescent="0.25">
      <c r="B331" s="21">
        <v>162</v>
      </c>
      <c r="C331" s="21" t="s">
        <v>518</v>
      </c>
      <c r="D331" s="21" t="s">
        <v>179</v>
      </c>
      <c r="E331" s="21" t="s">
        <v>373</v>
      </c>
      <c r="F331" s="25">
        <v>45</v>
      </c>
      <c r="G331" s="26">
        <v>5.5</v>
      </c>
      <c r="H331" s="21" t="s">
        <v>243</v>
      </c>
      <c r="I331" s="23">
        <v>1</v>
      </c>
      <c r="J331" s="24">
        <v>29.78</v>
      </c>
      <c r="K331" s="32">
        <v>2.0999999999999996</v>
      </c>
      <c r="L331" s="24">
        <v>5.41</v>
      </c>
      <c r="M331" s="34"/>
      <c r="N331" s="34"/>
      <c r="O331" s="22" t="str">
        <f>IF(ISNA(VLOOKUP(Table_master_data[[#This Row],[Pick]],Table2[#All],2,FALSE)),"-",VLOOKUP(Table_master_data[[#This Row],[Pick]],Table2[#All],2,FALSE))</f>
        <v>-</v>
      </c>
      <c r="P331" s="22"/>
    </row>
    <row r="332" spans="2:16" x14ac:dyDescent="0.25">
      <c r="B332" s="21">
        <v>78</v>
      </c>
      <c r="C332" s="21" t="s">
        <v>504</v>
      </c>
      <c r="D332" s="21" t="s">
        <v>181</v>
      </c>
      <c r="E332" s="21" t="s">
        <v>190</v>
      </c>
      <c r="F332" s="25">
        <v>12</v>
      </c>
      <c r="G332" s="26">
        <v>4</v>
      </c>
      <c r="H332" s="21" t="s">
        <v>243</v>
      </c>
      <c r="I332" s="23">
        <v>1</v>
      </c>
      <c r="J332" s="24">
        <v>28.97</v>
      </c>
      <c r="K332" s="32">
        <v>2.5700000000000003</v>
      </c>
      <c r="L332" s="24">
        <v>7.24</v>
      </c>
      <c r="M332" s="34"/>
      <c r="N332" s="34"/>
      <c r="O332" s="22" t="str">
        <f>IF(ISNA(VLOOKUP(Table_master_data[[#This Row],[Pick]],Table2[#All],2,FALSE)),"-",VLOOKUP(Table_master_data[[#This Row],[Pick]],Table2[#All],2,FALSE))</f>
        <v>-</v>
      </c>
      <c r="P332" s="22"/>
    </row>
    <row r="333" spans="2:16" x14ac:dyDescent="0.25">
      <c r="B333" s="21">
        <v>152</v>
      </c>
      <c r="C333" s="21" t="s">
        <v>67</v>
      </c>
      <c r="D333" s="21" t="s">
        <v>181</v>
      </c>
      <c r="E333" s="21" t="s">
        <v>373</v>
      </c>
      <c r="F333" s="25">
        <v>59</v>
      </c>
      <c r="G333" s="26">
        <v>4.5</v>
      </c>
      <c r="H333" s="21" t="s">
        <v>243</v>
      </c>
      <c r="I333" s="23">
        <v>1</v>
      </c>
      <c r="J333" s="24">
        <v>28.73</v>
      </c>
      <c r="K333" s="32">
        <v>2.81</v>
      </c>
      <c r="L333" s="24">
        <v>6.38</v>
      </c>
      <c r="M333" s="34"/>
      <c r="N333" s="34"/>
      <c r="O333" s="22" t="str">
        <f>IF(ISNA(VLOOKUP(Table_master_data[[#This Row],[Pick]],Table2[#All],2,FALSE)),"-",VLOOKUP(Table_master_data[[#This Row],[Pick]],Table2[#All],2,FALSE))</f>
        <v>-</v>
      </c>
      <c r="P333" s="22"/>
    </row>
    <row r="334" spans="2:16" x14ac:dyDescent="0.25">
      <c r="B334" s="21">
        <v>510</v>
      </c>
      <c r="C334" s="21" t="s">
        <v>734</v>
      </c>
      <c r="D334" s="21" t="s">
        <v>181</v>
      </c>
      <c r="E334" s="21" t="s">
        <v>374</v>
      </c>
      <c r="F334" s="25">
        <v>0</v>
      </c>
      <c r="G334" s="26">
        <v>4.5</v>
      </c>
      <c r="H334" s="21" t="s">
        <v>243</v>
      </c>
      <c r="I334" s="23">
        <v>1</v>
      </c>
      <c r="J334" s="24">
        <v>28.58</v>
      </c>
      <c r="K334" s="32">
        <v>3.5300000000000002</v>
      </c>
      <c r="L334" s="24">
        <v>6.35</v>
      </c>
      <c r="M334" s="34"/>
      <c r="N334" s="34"/>
      <c r="O334" s="22" t="str">
        <f>IF(ISNA(VLOOKUP(Table_master_data[[#This Row],[Pick]],Table2[#All],2,FALSE)),"-",VLOOKUP(Table_master_data[[#This Row],[Pick]],Table2[#All],2,FALSE))</f>
        <v>-</v>
      </c>
      <c r="P334" s="22"/>
    </row>
    <row r="335" spans="2:16" x14ac:dyDescent="0.25">
      <c r="B335" s="21">
        <v>244</v>
      </c>
      <c r="C335" s="21" t="s">
        <v>418</v>
      </c>
      <c r="D335" s="21" t="s">
        <v>179</v>
      </c>
      <c r="E335" s="21" t="s">
        <v>187</v>
      </c>
      <c r="F335" s="25">
        <v>26</v>
      </c>
      <c r="G335" s="26">
        <v>5</v>
      </c>
      <c r="H335" s="21" t="s">
        <v>250</v>
      </c>
      <c r="I335" s="23">
        <v>0.25</v>
      </c>
      <c r="J335" s="24">
        <v>28.25</v>
      </c>
      <c r="K335" s="32">
        <v>4.0999999999999996</v>
      </c>
      <c r="L335" s="24">
        <v>5.65</v>
      </c>
      <c r="M335" s="34"/>
      <c r="N335" s="34"/>
      <c r="O335" s="22" t="str">
        <f>IF(ISNA(VLOOKUP(Table_master_data[[#This Row],[Pick]],Table2[#All],2,FALSE)),"-",VLOOKUP(Table_master_data[[#This Row],[Pick]],Table2[#All],2,FALSE))</f>
        <v>-</v>
      </c>
      <c r="P335" s="22"/>
    </row>
    <row r="336" spans="2:16" x14ac:dyDescent="0.25">
      <c r="B336" s="21">
        <v>409</v>
      </c>
      <c r="C336" s="21" t="s">
        <v>20</v>
      </c>
      <c r="D336" s="21" t="s">
        <v>181</v>
      </c>
      <c r="E336" s="21" t="s">
        <v>184</v>
      </c>
      <c r="F336" s="25">
        <v>29</v>
      </c>
      <c r="G336" s="26">
        <v>5.5</v>
      </c>
      <c r="H336" s="21" t="s">
        <v>243</v>
      </c>
      <c r="I336" s="23">
        <v>1</v>
      </c>
      <c r="J336" s="24">
        <v>28.08</v>
      </c>
      <c r="K336" s="32">
        <v>2.64</v>
      </c>
      <c r="L336" s="24">
        <v>5.1100000000000003</v>
      </c>
      <c r="M336" s="34"/>
      <c r="N336" s="34"/>
      <c r="O336" s="22" t="str">
        <f>IF(ISNA(VLOOKUP(Table_master_data[[#This Row],[Pick]],Table2[#All],2,FALSE)),"-",VLOOKUP(Table_master_data[[#This Row],[Pick]],Table2[#All],2,FALSE))</f>
        <v>-</v>
      </c>
      <c r="P336" s="22"/>
    </row>
    <row r="337" spans="2:16" x14ac:dyDescent="0.25">
      <c r="B337" s="21">
        <v>422</v>
      </c>
      <c r="C337" s="21" t="s">
        <v>84</v>
      </c>
      <c r="D337" s="21" t="s">
        <v>179</v>
      </c>
      <c r="E337" s="21" t="s">
        <v>184</v>
      </c>
      <c r="F337" s="25">
        <v>109</v>
      </c>
      <c r="G337" s="26">
        <v>6</v>
      </c>
      <c r="H337" s="21" t="s">
        <v>251</v>
      </c>
      <c r="I337" s="23">
        <v>0</v>
      </c>
      <c r="J337" s="24">
        <v>27.96</v>
      </c>
      <c r="K337" s="32">
        <v>0.87999999999999989</v>
      </c>
      <c r="L337" s="24">
        <v>4.66</v>
      </c>
      <c r="M337" s="34"/>
      <c r="N337" s="34"/>
      <c r="O337" s="22" t="str">
        <f>IF(ISNA(VLOOKUP(Table_master_data[[#This Row],[Pick]],Table2[#All],2,FALSE)),"-",VLOOKUP(Table_master_data[[#This Row],[Pick]],Table2[#All],2,FALSE))</f>
        <v>-</v>
      </c>
      <c r="P337" s="22"/>
    </row>
    <row r="338" spans="2:16" x14ac:dyDescent="0.25">
      <c r="B338" s="21">
        <v>549</v>
      </c>
      <c r="C338" s="21" t="s">
        <v>779</v>
      </c>
      <c r="D338" s="21" t="s">
        <v>179</v>
      </c>
      <c r="E338" s="21" t="s">
        <v>802</v>
      </c>
      <c r="F338" s="25">
        <v>0</v>
      </c>
      <c r="G338" s="26">
        <v>5</v>
      </c>
      <c r="H338" s="21" t="s">
        <v>243</v>
      </c>
      <c r="I338" s="23">
        <v>1</v>
      </c>
      <c r="J338" s="24">
        <v>27.81</v>
      </c>
      <c r="K338" s="32">
        <v>2.2199999999999998</v>
      </c>
      <c r="L338" s="24">
        <v>5.56</v>
      </c>
      <c r="M338" s="34"/>
      <c r="N338" s="34"/>
      <c r="O338" s="22" t="str">
        <f>IF(ISNA(VLOOKUP(Table_master_data[[#This Row],[Pick]],Table2[#All],2,FALSE)),"-",VLOOKUP(Table_master_data[[#This Row],[Pick]],Table2[#All],2,FALSE))</f>
        <v>-</v>
      </c>
      <c r="P338" s="22"/>
    </row>
    <row r="339" spans="2:16" x14ac:dyDescent="0.25">
      <c r="B339" s="21">
        <v>424</v>
      </c>
      <c r="C339" s="21" t="s">
        <v>337</v>
      </c>
      <c r="D339" s="21" t="s">
        <v>179</v>
      </c>
      <c r="E339" s="21" t="s">
        <v>184</v>
      </c>
      <c r="F339" s="25">
        <v>3</v>
      </c>
      <c r="G339" s="26">
        <v>5.5</v>
      </c>
      <c r="H339" s="21" t="s">
        <v>243</v>
      </c>
      <c r="I339" s="23">
        <v>1</v>
      </c>
      <c r="J339" s="24">
        <v>27.41</v>
      </c>
      <c r="K339" s="32">
        <v>2.4</v>
      </c>
      <c r="L339" s="24">
        <v>4.9800000000000004</v>
      </c>
      <c r="M339" s="34"/>
      <c r="N339" s="34"/>
      <c r="O339" s="22" t="str">
        <f>IF(ISNA(VLOOKUP(Table_master_data[[#This Row],[Pick]],Table2[#All],2,FALSE)),"-",VLOOKUP(Table_master_data[[#This Row],[Pick]],Table2[#All],2,FALSE))</f>
        <v>-</v>
      </c>
      <c r="P339" s="22"/>
    </row>
    <row r="340" spans="2:16" x14ac:dyDescent="0.25">
      <c r="B340" s="21">
        <v>321</v>
      </c>
      <c r="C340" s="21" t="s">
        <v>496</v>
      </c>
      <c r="D340" s="21" t="s">
        <v>181</v>
      </c>
      <c r="E340" s="21" t="s">
        <v>189</v>
      </c>
      <c r="F340" s="25">
        <v>9</v>
      </c>
      <c r="G340" s="26">
        <v>4.5</v>
      </c>
      <c r="H340" s="21" t="s">
        <v>243</v>
      </c>
      <c r="I340" s="23">
        <v>1</v>
      </c>
      <c r="J340" s="24">
        <v>27.26</v>
      </c>
      <c r="K340" s="32">
        <v>5.18</v>
      </c>
      <c r="L340" s="24">
        <v>6.06</v>
      </c>
      <c r="M340" s="34"/>
      <c r="N340" s="34"/>
      <c r="O340" s="22" t="str">
        <f>IF(ISNA(VLOOKUP(Table_master_data[[#This Row],[Pick]],Table2[#All],2,FALSE)),"-",VLOOKUP(Table_master_data[[#This Row],[Pick]],Table2[#All],2,FALSE))</f>
        <v>-</v>
      </c>
      <c r="P340" s="22"/>
    </row>
    <row r="341" spans="2:16" x14ac:dyDescent="0.25">
      <c r="B341" s="21">
        <v>304</v>
      </c>
      <c r="C341" s="21" t="s">
        <v>160</v>
      </c>
      <c r="D341" s="21" t="s">
        <v>179</v>
      </c>
      <c r="E341" s="21" t="s">
        <v>185</v>
      </c>
      <c r="F341" s="25">
        <v>22</v>
      </c>
      <c r="G341" s="26">
        <v>5</v>
      </c>
      <c r="H341" s="21" t="s">
        <v>243</v>
      </c>
      <c r="I341" s="23">
        <v>1</v>
      </c>
      <c r="J341" s="24">
        <v>26.95</v>
      </c>
      <c r="K341" s="32">
        <v>2.94</v>
      </c>
      <c r="L341" s="24">
        <v>5.39</v>
      </c>
      <c r="M341" s="34"/>
      <c r="N341" s="34"/>
      <c r="O341" s="22" t="str">
        <f>IF(ISNA(VLOOKUP(Table_master_data[[#This Row],[Pick]],Table2[#All],2,FALSE)),"-",VLOOKUP(Table_master_data[[#This Row],[Pick]],Table2[#All],2,FALSE))</f>
        <v>-</v>
      </c>
      <c r="P341" s="22"/>
    </row>
    <row r="342" spans="2:16" x14ac:dyDescent="0.25">
      <c r="B342" s="21">
        <v>76</v>
      </c>
      <c r="C342" s="21" t="s">
        <v>580</v>
      </c>
      <c r="D342" s="21" t="s">
        <v>181</v>
      </c>
      <c r="E342" s="21" t="s">
        <v>190</v>
      </c>
      <c r="F342" s="25">
        <v>0</v>
      </c>
      <c r="G342" s="26">
        <v>4</v>
      </c>
      <c r="H342" s="21" t="s">
        <v>243</v>
      </c>
      <c r="I342" s="23">
        <v>1</v>
      </c>
      <c r="J342" s="24">
        <v>26.92</v>
      </c>
      <c r="K342" s="32">
        <v>0.75</v>
      </c>
      <c r="L342" s="24">
        <v>6.73</v>
      </c>
      <c r="M342" s="34"/>
      <c r="N342" s="34"/>
      <c r="O342" s="22" t="str">
        <f>IF(ISNA(VLOOKUP(Table_master_data[[#This Row],[Pick]],Table2[#All],2,FALSE)),"-",VLOOKUP(Table_master_data[[#This Row],[Pick]],Table2[#All],2,FALSE))</f>
        <v>-</v>
      </c>
      <c r="P342" s="22"/>
    </row>
    <row r="343" spans="2:16" x14ac:dyDescent="0.25">
      <c r="B343" s="21">
        <v>345</v>
      </c>
      <c r="C343" s="21" t="s">
        <v>665</v>
      </c>
      <c r="D343" s="21" t="s">
        <v>181</v>
      </c>
      <c r="E343" s="21" t="s">
        <v>815</v>
      </c>
      <c r="F343" s="25">
        <v>0</v>
      </c>
      <c r="G343" s="26">
        <v>4</v>
      </c>
      <c r="H343" s="21" t="s">
        <v>250</v>
      </c>
      <c r="I343" s="23">
        <v>0.75</v>
      </c>
      <c r="J343" s="24">
        <v>26.78</v>
      </c>
      <c r="K343" s="32">
        <v>3.9000000000000004</v>
      </c>
      <c r="L343" s="24">
        <v>6.69</v>
      </c>
      <c r="M343" s="34"/>
      <c r="N343" s="34"/>
      <c r="O343" s="22" t="str">
        <f>IF(ISNA(VLOOKUP(Table_master_data[[#This Row],[Pick]],Table2[#All],2,FALSE)),"-",VLOOKUP(Table_master_data[[#This Row],[Pick]],Table2[#All],2,FALSE))</f>
        <v>-</v>
      </c>
      <c r="P343" s="22"/>
    </row>
    <row r="344" spans="2:16" x14ac:dyDescent="0.25">
      <c r="B344" s="21">
        <v>459</v>
      </c>
      <c r="C344" s="21" t="s">
        <v>726</v>
      </c>
      <c r="D344" s="21" t="s">
        <v>179</v>
      </c>
      <c r="E344" s="21" t="s">
        <v>193</v>
      </c>
      <c r="F344" s="25">
        <v>49</v>
      </c>
      <c r="G344" s="26">
        <v>5</v>
      </c>
      <c r="H344" s="21" t="s">
        <v>243</v>
      </c>
      <c r="I344" s="23">
        <v>1</v>
      </c>
      <c r="J344" s="24">
        <v>25.99</v>
      </c>
      <c r="K344" s="32">
        <v>3.2800000000000002</v>
      </c>
      <c r="L344" s="24">
        <v>5.2</v>
      </c>
      <c r="M344" s="34"/>
      <c r="N344" s="34"/>
      <c r="O344" s="22" t="str">
        <f>IF(ISNA(VLOOKUP(Table_master_data[[#This Row],[Pick]],Table2[#All],2,FALSE)),"-",VLOOKUP(Table_master_data[[#This Row],[Pick]],Table2[#All],2,FALSE))</f>
        <v>-</v>
      </c>
      <c r="P344" s="22"/>
    </row>
    <row r="345" spans="2:16" x14ac:dyDescent="0.25">
      <c r="B345" s="21">
        <v>587</v>
      </c>
      <c r="C345" s="21" t="s">
        <v>104</v>
      </c>
      <c r="D345" s="21" t="s">
        <v>179</v>
      </c>
      <c r="E345" s="21" t="s">
        <v>192</v>
      </c>
      <c r="F345" s="25">
        <v>50</v>
      </c>
      <c r="G345" s="26">
        <v>5.5</v>
      </c>
      <c r="H345" s="21" t="s">
        <v>243</v>
      </c>
      <c r="I345" s="23">
        <v>1</v>
      </c>
      <c r="J345" s="24">
        <v>25.84</v>
      </c>
      <c r="K345" s="32">
        <v>3.16</v>
      </c>
      <c r="L345" s="24">
        <v>4.7</v>
      </c>
      <c r="M345" s="34"/>
      <c r="N345" s="34"/>
      <c r="O345" s="22" t="str">
        <f>IF(ISNA(VLOOKUP(Table_master_data[[#This Row],[Pick]],Table2[#All],2,FALSE)),"-",VLOOKUP(Table_master_data[[#This Row],[Pick]],Table2[#All],2,FALSE))</f>
        <v>-</v>
      </c>
      <c r="P345" s="22"/>
    </row>
    <row r="346" spans="2:16" x14ac:dyDescent="0.25">
      <c r="B346" s="21">
        <v>500</v>
      </c>
      <c r="C346" s="21" t="s">
        <v>500</v>
      </c>
      <c r="D346" s="21" t="s">
        <v>178</v>
      </c>
      <c r="E346" s="21" t="s">
        <v>186</v>
      </c>
      <c r="F346" s="25">
        <v>19</v>
      </c>
      <c r="G346" s="26">
        <v>5.5</v>
      </c>
      <c r="H346" s="21" t="s">
        <v>243</v>
      </c>
      <c r="I346" s="23">
        <v>1</v>
      </c>
      <c r="J346" s="24">
        <v>25.17</v>
      </c>
      <c r="K346" s="32">
        <v>4.47</v>
      </c>
      <c r="L346" s="24">
        <v>4.58</v>
      </c>
      <c r="M346" s="34"/>
      <c r="N346" s="34"/>
      <c r="O346" s="22" t="str">
        <f>IF(ISNA(VLOOKUP(Table_master_data[[#This Row],[Pick]],Table2[#All],2,FALSE)),"-",VLOOKUP(Table_master_data[[#This Row],[Pick]],Table2[#All],2,FALSE))</f>
        <v>-</v>
      </c>
      <c r="P346" s="22"/>
    </row>
    <row r="347" spans="2:16" x14ac:dyDescent="0.25">
      <c r="B347" s="21">
        <v>466</v>
      </c>
      <c r="C347" s="21" t="s">
        <v>452</v>
      </c>
      <c r="D347" s="21" t="s">
        <v>178</v>
      </c>
      <c r="E347" s="21" t="s">
        <v>193</v>
      </c>
      <c r="F347" s="25">
        <v>64</v>
      </c>
      <c r="G347" s="26">
        <v>6</v>
      </c>
      <c r="H347" s="21" t="s">
        <v>250</v>
      </c>
      <c r="I347" s="23">
        <v>0.5</v>
      </c>
      <c r="J347" s="24">
        <v>25.12</v>
      </c>
      <c r="K347" s="32">
        <v>2.8</v>
      </c>
      <c r="L347" s="24">
        <v>4.1900000000000004</v>
      </c>
      <c r="M347" s="34"/>
      <c r="N347" s="34"/>
      <c r="O347" s="22" t="str">
        <f>IF(ISNA(VLOOKUP(Table_master_data[[#This Row],[Pick]],Table2[#All],2,FALSE)),"-",VLOOKUP(Table_master_data[[#This Row],[Pick]],Table2[#All],2,FALSE))</f>
        <v>-</v>
      </c>
      <c r="P347" s="22"/>
    </row>
    <row r="348" spans="2:16" x14ac:dyDescent="0.25">
      <c r="B348" s="21">
        <v>31</v>
      </c>
      <c r="C348" s="21" t="s">
        <v>269</v>
      </c>
      <c r="D348" s="21" t="s">
        <v>178</v>
      </c>
      <c r="E348" s="21" t="s">
        <v>194</v>
      </c>
      <c r="F348" s="25">
        <v>42</v>
      </c>
      <c r="G348" s="26">
        <v>6.5</v>
      </c>
      <c r="H348" s="21" t="s">
        <v>251</v>
      </c>
      <c r="I348" s="23">
        <v>0</v>
      </c>
      <c r="J348" s="24">
        <v>24.78</v>
      </c>
      <c r="K348" s="32">
        <v>0</v>
      </c>
      <c r="L348" s="24">
        <v>3.81</v>
      </c>
      <c r="M348" s="34"/>
      <c r="N348" s="34"/>
      <c r="O348" s="22" t="str">
        <f>IF(ISNA(VLOOKUP(Table_master_data[[#This Row],[Pick]],Table2[#All],2,FALSE)),"-",VLOOKUP(Table_master_data[[#This Row],[Pick]],Table2[#All],2,FALSE))</f>
        <v>-</v>
      </c>
      <c r="P348" s="22"/>
    </row>
    <row r="349" spans="2:16" x14ac:dyDescent="0.25">
      <c r="B349" s="21">
        <v>183</v>
      </c>
      <c r="C349" s="21" t="s">
        <v>632</v>
      </c>
      <c r="D349" s="21" t="s">
        <v>258</v>
      </c>
      <c r="E349" s="21" t="s">
        <v>508</v>
      </c>
      <c r="F349" s="25">
        <v>0</v>
      </c>
      <c r="G349" s="26">
        <v>4.5</v>
      </c>
      <c r="H349" s="21" t="s">
        <v>243</v>
      </c>
      <c r="I349" s="23">
        <v>1</v>
      </c>
      <c r="J349" s="24">
        <v>24.62</v>
      </c>
      <c r="K349" s="32">
        <v>4.9200000000000008</v>
      </c>
      <c r="L349" s="24">
        <v>5.47</v>
      </c>
      <c r="M349" s="34"/>
      <c r="N349" s="34"/>
      <c r="O349" s="22" t="str">
        <f>IF(ISNA(VLOOKUP(Table_master_data[[#This Row],[Pick]],Table2[#All],2,FALSE)),"-",VLOOKUP(Table_master_data[[#This Row],[Pick]],Table2[#All],2,FALSE))</f>
        <v>-</v>
      </c>
      <c r="P349" s="22"/>
    </row>
    <row r="350" spans="2:16" x14ac:dyDescent="0.25">
      <c r="B350" s="21">
        <v>105</v>
      </c>
      <c r="C350" s="21" t="s">
        <v>405</v>
      </c>
      <c r="D350" s="21" t="s">
        <v>258</v>
      </c>
      <c r="E350" s="21" t="s">
        <v>183</v>
      </c>
      <c r="F350" s="25">
        <v>2</v>
      </c>
      <c r="G350" s="26">
        <v>4</v>
      </c>
      <c r="H350" s="21" t="s">
        <v>243</v>
      </c>
      <c r="I350" s="23">
        <v>1</v>
      </c>
      <c r="J350" s="24">
        <v>24.32</v>
      </c>
      <c r="K350" s="32">
        <v>3.21</v>
      </c>
      <c r="L350" s="24">
        <v>6.08</v>
      </c>
      <c r="M350" s="34"/>
      <c r="N350" s="34"/>
      <c r="O350" s="22" t="str">
        <f>IF(ISNA(VLOOKUP(Table_master_data[[#This Row],[Pick]],Table2[#All],2,FALSE)),"-",VLOOKUP(Table_master_data[[#This Row],[Pick]],Table2[#All],2,FALSE))</f>
        <v>-</v>
      </c>
      <c r="P350" s="22"/>
    </row>
    <row r="351" spans="2:16" x14ac:dyDescent="0.25">
      <c r="B351" s="21">
        <v>344</v>
      </c>
      <c r="C351" s="21" t="s">
        <v>662</v>
      </c>
      <c r="D351" s="21" t="s">
        <v>181</v>
      </c>
      <c r="E351" s="21" t="s">
        <v>815</v>
      </c>
      <c r="F351" s="25">
        <v>0</v>
      </c>
      <c r="G351" s="26">
        <v>4</v>
      </c>
      <c r="H351" s="21" t="s">
        <v>252</v>
      </c>
      <c r="I351" s="23">
        <v>0</v>
      </c>
      <c r="J351" s="24">
        <v>24.18</v>
      </c>
      <c r="K351" s="32">
        <v>2.42</v>
      </c>
      <c r="L351" s="24">
        <v>6.04</v>
      </c>
      <c r="M351" s="34"/>
      <c r="N351" s="34"/>
      <c r="O351" s="22" t="str">
        <f>IF(ISNA(VLOOKUP(Table_master_data[[#This Row],[Pick]],Table2[#All],2,FALSE)),"-",VLOOKUP(Table_master_data[[#This Row],[Pick]],Table2[#All],2,FALSE))</f>
        <v>-</v>
      </c>
      <c r="P351" s="22"/>
    </row>
    <row r="352" spans="2:16" x14ac:dyDescent="0.25">
      <c r="B352" s="21">
        <v>679</v>
      </c>
      <c r="C352" s="21" t="s">
        <v>835</v>
      </c>
      <c r="D352" s="21" t="s">
        <v>258</v>
      </c>
      <c r="E352" s="21" t="s">
        <v>372</v>
      </c>
      <c r="F352" s="25">
        <v>0</v>
      </c>
      <c r="G352" s="26">
        <v>4.5</v>
      </c>
      <c r="H352" s="21" t="s">
        <v>243</v>
      </c>
      <c r="I352" s="23">
        <v>1</v>
      </c>
      <c r="J352" s="24">
        <v>24.16</v>
      </c>
      <c r="K352" s="32">
        <v>1.78</v>
      </c>
      <c r="L352" s="24">
        <v>5.37</v>
      </c>
      <c r="M352" s="34"/>
      <c r="N352" s="34"/>
      <c r="O352" s="22" t="str">
        <f>IF(ISNA(VLOOKUP(Table_master_data[[#This Row],[Pick]],Table2[#All],2,FALSE)),"-",VLOOKUP(Table_master_data[[#This Row],[Pick]],Table2[#All],2,FALSE))</f>
        <v>-</v>
      </c>
      <c r="P352" s="22"/>
    </row>
    <row r="353" spans="2:16" x14ac:dyDescent="0.25">
      <c r="B353" s="21">
        <v>677</v>
      </c>
      <c r="C353" s="21" t="s">
        <v>831</v>
      </c>
      <c r="D353" s="21" t="s">
        <v>179</v>
      </c>
      <c r="E353" s="21" t="s">
        <v>191</v>
      </c>
      <c r="F353" s="25">
        <v>0</v>
      </c>
      <c r="G353" s="26">
        <v>6.5</v>
      </c>
      <c r="H353" s="21" t="s">
        <v>243</v>
      </c>
      <c r="I353" s="23">
        <v>1</v>
      </c>
      <c r="J353" s="24">
        <v>24.14</v>
      </c>
      <c r="K353" s="32">
        <v>3.14</v>
      </c>
      <c r="L353" s="24">
        <v>3.71</v>
      </c>
      <c r="M353" s="34"/>
      <c r="N353" s="34"/>
      <c r="O353" s="22" t="str">
        <f>IF(ISNA(VLOOKUP(Table_master_data[[#This Row],[Pick]],Table2[#All],2,FALSE)),"-",VLOOKUP(Table_master_data[[#This Row],[Pick]],Table2[#All],2,FALSE))</f>
        <v>-</v>
      </c>
      <c r="P353" s="22"/>
    </row>
    <row r="354" spans="2:16" x14ac:dyDescent="0.25">
      <c r="B354" s="21">
        <v>377</v>
      </c>
      <c r="C354" s="21" t="s">
        <v>147</v>
      </c>
      <c r="D354" s="21" t="s">
        <v>181</v>
      </c>
      <c r="E354" s="21" t="s">
        <v>180</v>
      </c>
      <c r="F354" s="25">
        <v>43</v>
      </c>
      <c r="G354" s="26">
        <v>5</v>
      </c>
      <c r="H354" s="21" t="s">
        <v>243</v>
      </c>
      <c r="I354" s="23">
        <v>1</v>
      </c>
      <c r="J354" s="24">
        <v>23.59</v>
      </c>
      <c r="K354" s="32">
        <v>2.0299999999999998</v>
      </c>
      <c r="L354" s="24">
        <v>4.72</v>
      </c>
      <c r="M354" s="34"/>
      <c r="N354" s="34"/>
      <c r="O354" s="22" t="str">
        <f>IF(ISNA(VLOOKUP(Table_master_data[[#This Row],[Pick]],Table2[#All],2,FALSE)),"-",VLOOKUP(Table_master_data[[#This Row],[Pick]],Table2[#All],2,FALSE))</f>
        <v>-</v>
      </c>
      <c r="P354" s="22"/>
    </row>
    <row r="355" spans="2:16" x14ac:dyDescent="0.25">
      <c r="B355" s="21">
        <v>295</v>
      </c>
      <c r="C355" s="21" t="s">
        <v>110</v>
      </c>
      <c r="D355" s="21" t="s">
        <v>181</v>
      </c>
      <c r="E355" s="21" t="s">
        <v>185</v>
      </c>
      <c r="F355" s="25">
        <v>48</v>
      </c>
      <c r="G355" s="26">
        <v>4.5</v>
      </c>
      <c r="H355" s="21" t="s">
        <v>243</v>
      </c>
      <c r="I355" s="23">
        <v>1</v>
      </c>
      <c r="J355" s="24">
        <v>22.73</v>
      </c>
      <c r="K355" s="32">
        <v>2.1</v>
      </c>
      <c r="L355" s="24">
        <v>5.05</v>
      </c>
      <c r="M355" s="34"/>
      <c r="N355" s="34"/>
      <c r="O355" s="22" t="str">
        <f>IF(ISNA(VLOOKUP(Table_master_data[[#This Row],[Pick]],Table2[#All],2,FALSE)),"-",VLOOKUP(Table_master_data[[#This Row],[Pick]],Table2[#All],2,FALSE))</f>
        <v>-</v>
      </c>
      <c r="P355" s="22"/>
    </row>
    <row r="356" spans="2:16" x14ac:dyDescent="0.25">
      <c r="B356" s="21">
        <v>55</v>
      </c>
      <c r="C356" s="21" t="s">
        <v>391</v>
      </c>
      <c r="D356" s="21" t="s">
        <v>179</v>
      </c>
      <c r="E356" s="21" t="s">
        <v>191</v>
      </c>
      <c r="F356" s="25">
        <v>44</v>
      </c>
      <c r="G356" s="26">
        <v>5</v>
      </c>
      <c r="H356" s="21" t="s">
        <v>250</v>
      </c>
      <c r="I356" s="23">
        <v>0.75</v>
      </c>
      <c r="J356" s="24">
        <v>22.16</v>
      </c>
      <c r="K356" s="32">
        <v>1.2999999999999998</v>
      </c>
      <c r="L356" s="24">
        <v>4.43</v>
      </c>
      <c r="M356" s="34"/>
      <c r="N356" s="34"/>
      <c r="O356" s="22" t="str">
        <f>IF(ISNA(VLOOKUP(Table_master_data[[#This Row],[Pick]],Table2[#All],2,FALSE)),"-",VLOOKUP(Table_master_data[[#This Row],[Pick]],Table2[#All],2,FALSE))</f>
        <v>-</v>
      </c>
      <c r="P356" s="22"/>
    </row>
    <row r="357" spans="2:16" x14ac:dyDescent="0.25">
      <c r="B357" s="21">
        <v>243</v>
      </c>
      <c r="C357" s="21" t="s">
        <v>560</v>
      </c>
      <c r="D357" s="21" t="s">
        <v>179</v>
      </c>
      <c r="E357" s="21" t="s">
        <v>187</v>
      </c>
      <c r="F357" s="25">
        <v>17</v>
      </c>
      <c r="G357" s="26">
        <v>5</v>
      </c>
      <c r="H357" s="21" t="s">
        <v>243</v>
      </c>
      <c r="I357" s="23">
        <v>1</v>
      </c>
      <c r="J357" s="24">
        <v>21.94</v>
      </c>
      <c r="K357" s="32">
        <v>2.8100000000000005</v>
      </c>
      <c r="L357" s="24">
        <v>4.3899999999999997</v>
      </c>
      <c r="M357" s="34"/>
      <c r="N357" s="34"/>
      <c r="O357" s="22" t="str">
        <f>IF(ISNA(VLOOKUP(Table_master_data[[#This Row],[Pick]],Table2[#All],2,FALSE)),"-",VLOOKUP(Table_master_data[[#This Row],[Pick]],Table2[#All],2,FALSE))</f>
        <v>-</v>
      </c>
      <c r="P357" s="22"/>
    </row>
    <row r="358" spans="2:16" x14ac:dyDescent="0.25">
      <c r="B358" s="21">
        <v>25</v>
      </c>
      <c r="C358" s="21" t="s">
        <v>387</v>
      </c>
      <c r="D358" s="21" t="s">
        <v>179</v>
      </c>
      <c r="E358" s="21" t="s">
        <v>194</v>
      </c>
      <c r="F358" s="25">
        <v>66</v>
      </c>
      <c r="G358" s="26">
        <v>5.5</v>
      </c>
      <c r="H358" s="21" t="s">
        <v>243</v>
      </c>
      <c r="I358" s="23">
        <v>1</v>
      </c>
      <c r="J358" s="24">
        <v>21.35</v>
      </c>
      <c r="K358" s="32">
        <v>2.8</v>
      </c>
      <c r="L358" s="24">
        <v>3.88</v>
      </c>
      <c r="M358" s="34"/>
      <c r="N358" s="34"/>
      <c r="O358" s="22" t="str">
        <f>IF(ISNA(VLOOKUP(Table_master_data[[#This Row],[Pick]],Table2[#All],2,FALSE)),"-",VLOOKUP(Table_master_data[[#This Row],[Pick]],Table2[#All],2,FALSE))</f>
        <v>-</v>
      </c>
      <c r="P358" s="22"/>
    </row>
    <row r="359" spans="2:16" x14ac:dyDescent="0.25">
      <c r="B359" s="21">
        <v>619</v>
      </c>
      <c r="C359" s="21" t="s">
        <v>480</v>
      </c>
      <c r="D359" s="21" t="s">
        <v>179</v>
      </c>
      <c r="E359" s="21" t="s">
        <v>372</v>
      </c>
      <c r="F359" s="25">
        <v>12</v>
      </c>
      <c r="G359" s="26">
        <v>5</v>
      </c>
      <c r="H359" s="21" t="s">
        <v>243</v>
      </c>
      <c r="I359" s="23">
        <v>1</v>
      </c>
      <c r="J359" s="24">
        <v>21.16</v>
      </c>
      <c r="K359" s="32">
        <v>3.13</v>
      </c>
      <c r="L359" s="24">
        <v>4.2300000000000004</v>
      </c>
      <c r="M359" s="34"/>
      <c r="N359" s="34"/>
      <c r="O359" s="22" t="str">
        <f>IF(ISNA(VLOOKUP(Table_master_data[[#This Row],[Pick]],Table2[#All],2,FALSE)),"-",VLOOKUP(Table_master_data[[#This Row],[Pick]],Table2[#All],2,FALSE))</f>
        <v>-</v>
      </c>
      <c r="P359" s="22"/>
    </row>
    <row r="360" spans="2:16" x14ac:dyDescent="0.25">
      <c r="B360" s="21">
        <v>251</v>
      </c>
      <c r="C360" s="21" t="s">
        <v>281</v>
      </c>
      <c r="D360" s="21" t="s">
        <v>178</v>
      </c>
      <c r="E360" s="21" t="s">
        <v>187</v>
      </c>
      <c r="F360" s="25">
        <v>121</v>
      </c>
      <c r="G360" s="26">
        <v>6.5</v>
      </c>
      <c r="H360" s="21" t="s">
        <v>252</v>
      </c>
      <c r="I360" s="23">
        <v>0</v>
      </c>
      <c r="J360" s="24">
        <v>21.15</v>
      </c>
      <c r="K360" s="32">
        <v>1.9</v>
      </c>
      <c r="L360" s="24">
        <v>3.25</v>
      </c>
      <c r="M360" s="34"/>
      <c r="N360" s="34"/>
      <c r="O360" s="22" t="str">
        <f>IF(ISNA(VLOOKUP(Table_master_data[[#This Row],[Pick]],Table2[#All],2,FALSE)),"-",VLOOKUP(Table_master_data[[#This Row],[Pick]],Table2[#All],2,FALSE))</f>
        <v>-</v>
      </c>
      <c r="P360" s="22" t="s">
        <v>4</v>
      </c>
    </row>
    <row r="361" spans="2:16" x14ac:dyDescent="0.25">
      <c r="B361" s="21">
        <v>570</v>
      </c>
      <c r="C361" s="21" t="s">
        <v>740</v>
      </c>
      <c r="D361" s="21" t="s">
        <v>181</v>
      </c>
      <c r="E361" s="21" t="s">
        <v>192</v>
      </c>
      <c r="F361" s="25">
        <v>16</v>
      </c>
      <c r="G361" s="26">
        <v>4.5</v>
      </c>
      <c r="H361" s="21" t="s">
        <v>243</v>
      </c>
      <c r="I361" s="23">
        <v>1</v>
      </c>
      <c r="J361" s="24">
        <v>21.14</v>
      </c>
      <c r="K361" s="32">
        <v>2.95</v>
      </c>
      <c r="L361" s="24">
        <v>4.7</v>
      </c>
      <c r="M361" s="34"/>
      <c r="N361" s="34"/>
      <c r="O361" s="22" t="str">
        <f>IF(ISNA(VLOOKUP(Table_master_data[[#This Row],[Pick]],Table2[#All],2,FALSE)),"-",VLOOKUP(Table_master_data[[#This Row],[Pick]],Table2[#All],2,FALSE))</f>
        <v>-</v>
      </c>
      <c r="P361" s="22"/>
    </row>
    <row r="362" spans="2:16" x14ac:dyDescent="0.25">
      <c r="B362" s="21">
        <v>91</v>
      </c>
      <c r="C362" s="21" t="s">
        <v>403</v>
      </c>
      <c r="D362" s="21" t="s">
        <v>179</v>
      </c>
      <c r="E362" s="21" t="s">
        <v>190</v>
      </c>
      <c r="F362" s="25">
        <v>23</v>
      </c>
      <c r="G362" s="26">
        <v>5</v>
      </c>
      <c r="H362" s="21" t="s">
        <v>250</v>
      </c>
      <c r="I362" s="23">
        <v>0.75</v>
      </c>
      <c r="J362" s="24">
        <v>21.1</v>
      </c>
      <c r="K362" s="32">
        <v>3.4000000000000004</v>
      </c>
      <c r="L362" s="24">
        <v>4.22</v>
      </c>
      <c r="M362" s="34"/>
      <c r="N362" s="34"/>
      <c r="O362" s="22" t="str">
        <f>IF(ISNA(VLOOKUP(Table_master_data[[#This Row],[Pick]],Table2[#All],2,FALSE)),"-",VLOOKUP(Table_master_data[[#This Row],[Pick]],Table2[#All],2,FALSE))</f>
        <v>-</v>
      </c>
      <c r="P362" s="22"/>
    </row>
    <row r="363" spans="2:16" x14ac:dyDescent="0.25">
      <c r="B363" s="21">
        <v>560</v>
      </c>
      <c r="C363" s="21" t="s">
        <v>764</v>
      </c>
      <c r="D363" s="21" t="s">
        <v>178</v>
      </c>
      <c r="E363" s="21" t="s">
        <v>802</v>
      </c>
      <c r="F363" s="25">
        <v>0</v>
      </c>
      <c r="G363" s="26">
        <v>5.5</v>
      </c>
      <c r="H363" s="21" t="s">
        <v>243</v>
      </c>
      <c r="I363" s="23">
        <v>1</v>
      </c>
      <c r="J363" s="24">
        <v>20.92</v>
      </c>
      <c r="K363" s="32">
        <v>2.29</v>
      </c>
      <c r="L363" s="24">
        <v>3.8</v>
      </c>
      <c r="M363" s="34"/>
      <c r="N363" s="34"/>
      <c r="O363" s="22" t="str">
        <f>IF(ISNA(VLOOKUP(Table_master_data[[#This Row],[Pick]],Table2[#All],2,FALSE)),"-",VLOOKUP(Table_master_data[[#This Row],[Pick]],Table2[#All],2,FALSE))</f>
        <v>-</v>
      </c>
      <c r="P363" s="22"/>
    </row>
    <row r="364" spans="2:16" x14ac:dyDescent="0.25">
      <c r="B364" s="21">
        <v>415</v>
      </c>
      <c r="C364" s="21" t="s">
        <v>713</v>
      </c>
      <c r="D364" s="21" t="s">
        <v>179</v>
      </c>
      <c r="E364" s="21" t="s">
        <v>184</v>
      </c>
      <c r="F364" s="25">
        <v>106</v>
      </c>
      <c r="G364" s="26">
        <v>7</v>
      </c>
      <c r="H364" s="21" t="s">
        <v>243</v>
      </c>
      <c r="I364" s="23">
        <v>1</v>
      </c>
      <c r="J364" s="24">
        <v>20.74</v>
      </c>
      <c r="K364" s="32">
        <v>2.23</v>
      </c>
      <c r="L364" s="24">
        <v>2.96</v>
      </c>
      <c r="M364" s="34"/>
      <c r="N364" s="34"/>
      <c r="O364" s="22" t="str">
        <f>IF(ISNA(VLOOKUP(Table_master_data[[#This Row],[Pick]],Table2[#All],2,FALSE)),"-",VLOOKUP(Table_master_data[[#This Row],[Pick]],Table2[#All],2,FALSE))</f>
        <v>-</v>
      </c>
      <c r="P364" s="22"/>
    </row>
    <row r="365" spans="2:16" x14ac:dyDescent="0.25">
      <c r="B365" s="21">
        <v>494</v>
      </c>
      <c r="C365" s="21" t="s">
        <v>142</v>
      </c>
      <c r="D365" s="21" t="s">
        <v>179</v>
      </c>
      <c r="E365" s="21" t="s">
        <v>186</v>
      </c>
      <c r="F365" s="25">
        <v>46</v>
      </c>
      <c r="G365" s="26">
        <v>5</v>
      </c>
      <c r="H365" s="21" t="s">
        <v>251</v>
      </c>
      <c r="I365" s="23">
        <v>0</v>
      </c>
      <c r="J365" s="24">
        <v>20.420000000000002</v>
      </c>
      <c r="K365" s="32">
        <v>1.1299999999999999</v>
      </c>
      <c r="L365" s="24">
        <v>4.08</v>
      </c>
      <c r="M365" s="34"/>
      <c r="N365" s="34"/>
      <c r="O365" s="22" t="str">
        <f>IF(ISNA(VLOOKUP(Table_master_data[[#This Row],[Pick]],Table2[#All],2,FALSE)),"-",VLOOKUP(Table_master_data[[#This Row],[Pick]],Table2[#All],2,FALSE))</f>
        <v>-</v>
      </c>
      <c r="P365" s="22"/>
    </row>
    <row r="366" spans="2:16" x14ac:dyDescent="0.25">
      <c r="B366" s="21">
        <v>319</v>
      </c>
      <c r="C366" s="21" t="s">
        <v>428</v>
      </c>
      <c r="D366" s="21" t="s">
        <v>181</v>
      </c>
      <c r="E366" s="21" t="s">
        <v>189</v>
      </c>
      <c r="F366" s="25">
        <v>46</v>
      </c>
      <c r="G366" s="26">
        <v>4.5</v>
      </c>
      <c r="H366" s="21" t="s">
        <v>243</v>
      </c>
      <c r="I366" s="23">
        <v>1</v>
      </c>
      <c r="J366" s="24">
        <v>20.309999999999999</v>
      </c>
      <c r="K366" s="32">
        <v>3.96</v>
      </c>
      <c r="L366" s="24">
        <v>4.51</v>
      </c>
      <c r="M366" s="34"/>
      <c r="N366" s="34"/>
      <c r="O366" s="22" t="str">
        <f>IF(ISNA(VLOOKUP(Table_master_data[[#This Row],[Pick]],Table2[#All],2,FALSE)),"-",VLOOKUP(Table_master_data[[#This Row],[Pick]],Table2[#All],2,FALSE))</f>
        <v>-</v>
      </c>
      <c r="P366" s="22"/>
    </row>
    <row r="367" spans="2:16" x14ac:dyDescent="0.25">
      <c r="B367" s="21">
        <v>545</v>
      </c>
      <c r="C367" s="21" t="s">
        <v>636</v>
      </c>
      <c r="D367" s="21" t="s">
        <v>179</v>
      </c>
      <c r="E367" s="21" t="s">
        <v>802</v>
      </c>
      <c r="F367" s="25">
        <v>0</v>
      </c>
      <c r="G367" s="26">
        <v>5.5</v>
      </c>
      <c r="H367" s="21" t="s">
        <v>243</v>
      </c>
      <c r="I367" s="23">
        <v>1</v>
      </c>
      <c r="J367" s="24">
        <v>20.170000000000002</v>
      </c>
      <c r="K367" s="32">
        <v>2.1799999999999997</v>
      </c>
      <c r="L367" s="24">
        <v>3.67</v>
      </c>
      <c r="M367" s="34"/>
      <c r="N367" s="34"/>
      <c r="O367" s="22" t="str">
        <f>IF(ISNA(VLOOKUP(Table_master_data[[#This Row],[Pick]],Table2[#All],2,FALSE)),"-",VLOOKUP(Table_master_data[[#This Row],[Pick]],Table2[#All],2,FALSE))</f>
        <v>-</v>
      </c>
      <c r="P367" s="22"/>
    </row>
    <row r="368" spans="2:16" x14ac:dyDescent="0.25">
      <c r="B368" s="21">
        <v>672</v>
      </c>
      <c r="C368" s="21" t="s">
        <v>599</v>
      </c>
      <c r="D368" s="21" t="s">
        <v>181</v>
      </c>
      <c r="E368" s="21" t="s">
        <v>187</v>
      </c>
      <c r="F368" s="25">
        <v>0</v>
      </c>
      <c r="G368" s="26">
        <v>5</v>
      </c>
      <c r="H368" s="21" t="s">
        <v>243</v>
      </c>
      <c r="I368" s="23">
        <v>1</v>
      </c>
      <c r="J368" s="24">
        <v>19.97</v>
      </c>
      <c r="K368" s="32">
        <v>1.9200000000000002</v>
      </c>
      <c r="L368" s="24">
        <v>3.99</v>
      </c>
      <c r="M368" s="34"/>
      <c r="N368" s="34"/>
      <c r="O368" s="22" t="str">
        <f>IF(ISNA(VLOOKUP(Table_master_data[[#This Row],[Pick]],Table2[#All],2,FALSE)),"-",VLOOKUP(Table_master_data[[#This Row],[Pick]],Table2[#All],2,FALSE))</f>
        <v>-</v>
      </c>
      <c r="P368" s="22"/>
    </row>
    <row r="369" spans="2:16" x14ac:dyDescent="0.25">
      <c r="B369" s="21">
        <v>616</v>
      </c>
      <c r="C369" s="21" t="s">
        <v>814</v>
      </c>
      <c r="D369" s="21" t="s">
        <v>179</v>
      </c>
      <c r="E369" s="21" t="s">
        <v>372</v>
      </c>
      <c r="F369" s="25">
        <v>40</v>
      </c>
      <c r="G369" s="26">
        <v>5</v>
      </c>
      <c r="H369" s="21" t="s">
        <v>243</v>
      </c>
      <c r="I369" s="23">
        <v>1</v>
      </c>
      <c r="J369" s="24">
        <v>19.28</v>
      </c>
      <c r="K369" s="32">
        <v>2.1800000000000002</v>
      </c>
      <c r="L369" s="24">
        <v>3.86</v>
      </c>
      <c r="M369" s="34"/>
      <c r="N369" s="34"/>
      <c r="O369" s="22" t="str">
        <f>IF(ISNA(VLOOKUP(Table_master_data[[#This Row],[Pick]],Table2[#All],2,FALSE)),"-",VLOOKUP(Table_master_data[[#This Row],[Pick]],Table2[#All],2,FALSE))</f>
        <v>-</v>
      </c>
      <c r="P369" s="22"/>
    </row>
    <row r="370" spans="2:16" x14ac:dyDescent="0.25">
      <c r="B370" s="21">
        <v>42</v>
      </c>
      <c r="C370" s="21" t="s">
        <v>529</v>
      </c>
      <c r="D370" s="21" t="s">
        <v>181</v>
      </c>
      <c r="E370" s="21" t="s">
        <v>191</v>
      </c>
      <c r="F370" s="25">
        <v>8</v>
      </c>
      <c r="G370" s="26">
        <v>4</v>
      </c>
      <c r="H370" s="21" t="s">
        <v>250</v>
      </c>
      <c r="I370" s="23">
        <v>0.75</v>
      </c>
      <c r="J370" s="24">
        <v>18.96</v>
      </c>
      <c r="K370" s="32">
        <v>2.11</v>
      </c>
      <c r="L370" s="24">
        <v>4.74</v>
      </c>
      <c r="M370" s="34"/>
      <c r="N370" s="34"/>
      <c r="O370" s="22" t="str">
        <f>IF(ISNA(VLOOKUP(Table_master_data[[#This Row],[Pick]],Table2[#All],2,FALSE)),"-",VLOOKUP(Table_master_data[[#This Row],[Pick]],Table2[#All],2,FALSE))</f>
        <v>-</v>
      </c>
      <c r="P370" s="22"/>
    </row>
    <row r="371" spans="2:16" x14ac:dyDescent="0.25">
      <c r="B371" s="21">
        <v>571</v>
      </c>
      <c r="C371" s="21" t="s">
        <v>137</v>
      </c>
      <c r="D371" s="21" t="s">
        <v>181</v>
      </c>
      <c r="E371" s="21" t="s">
        <v>192</v>
      </c>
      <c r="F371" s="25">
        <v>28</v>
      </c>
      <c r="G371" s="26">
        <v>4.5</v>
      </c>
      <c r="H371" s="21" t="s">
        <v>243</v>
      </c>
      <c r="I371" s="23">
        <v>1</v>
      </c>
      <c r="J371" s="24">
        <v>18.940000000000001</v>
      </c>
      <c r="K371" s="32">
        <v>2.2999999999999998</v>
      </c>
      <c r="L371" s="24">
        <v>4.21</v>
      </c>
      <c r="M371" s="34"/>
      <c r="N371" s="34"/>
      <c r="O371" s="22" t="str">
        <f>IF(ISNA(VLOOKUP(Table_master_data[[#This Row],[Pick]],Table2[#All],2,FALSE)),"-",VLOOKUP(Table_master_data[[#This Row],[Pick]],Table2[#All],2,FALSE))</f>
        <v>-</v>
      </c>
      <c r="P371" s="22"/>
    </row>
    <row r="372" spans="2:16" x14ac:dyDescent="0.25">
      <c r="B372" s="21">
        <v>357</v>
      </c>
      <c r="C372" s="21" t="s">
        <v>687</v>
      </c>
      <c r="D372" s="21" t="s">
        <v>179</v>
      </c>
      <c r="E372" s="21" t="s">
        <v>815</v>
      </c>
      <c r="F372" s="25">
        <v>0</v>
      </c>
      <c r="G372" s="26">
        <v>5</v>
      </c>
      <c r="H372" s="21" t="s">
        <v>243</v>
      </c>
      <c r="I372" s="23">
        <v>1</v>
      </c>
      <c r="J372" s="24">
        <v>18.88</v>
      </c>
      <c r="K372" s="32">
        <v>1.8499999999999996</v>
      </c>
      <c r="L372" s="24">
        <v>3.78</v>
      </c>
      <c r="M372" s="34"/>
      <c r="N372" s="34"/>
      <c r="O372" s="22" t="str">
        <f>IF(ISNA(VLOOKUP(Table_master_data[[#This Row],[Pick]],Table2[#All],2,FALSE)),"-",VLOOKUP(Table_master_data[[#This Row],[Pick]],Table2[#All],2,FALSE))</f>
        <v>-</v>
      </c>
      <c r="P372" s="22"/>
    </row>
    <row r="373" spans="2:16" x14ac:dyDescent="0.25">
      <c r="B373" s="21">
        <v>208</v>
      </c>
      <c r="C373" s="21" t="s">
        <v>562</v>
      </c>
      <c r="D373" s="21" t="s">
        <v>179</v>
      </c>
      <c r="E373" s="21" t="s">
        <v>508</v>
      </c>
      <c r="F373" s="25">
        <v>0</v>
      </c>
      <c r="G373" s="26">
        <v>5</v>
      </c>
      <c r="H373" s="21" t="s">
        <v>243</v>
      </c>
      <c r="I373" s="23">
        <v>1</v>
      </c>
      <c r="J373" s="24">
        <v>18.62</v>
      </c>
      <c r="K373" s="32">
        <v>2.59</v>
      </c>
      <c r="L373" s="24">
        <v>3.72</v>
      </c>
      <c r="M373" s="34"/>
      <c r="N373" s="34"/>
      <c r="O373" s="22" t="str">
        <f>IF(ISNA(VLOOKUP(Table_master_data[[#This Row],[Pick]],Table2[#All],2,FALSE)),"-",VLOOKUP(Table_master_data[[#This Row],[Pick]],Table2[#All],2,FALSE))</f>
        <v>-</v>
      </c>
      <c r="P373" s="22"/>
    </row>
    <row r="374" spans="2:16" x14ac:dyDescent="0.25">
      <c r="B374" s="21">
        <v>62</v>
      </c>
      <c r="C374" s="21" t="s">
        <v>548</v>
      </c>
      <c r="D374" s="21" t="s">
        <v>179</v>
      </c>
      <c r="E374" s="21" t="s">
        <v>191</v>
      </c>
      <c r="F374" s="25">
        <v>0</v>
      </c>
      <c r="G374" s="26">
        <v>4.5</v>
      </c>
      <c r="H374" s="21" t="s">
        <v>243</v>
      </c>
      <c r="I374" s="23">
        <v>1</v>
      </c>
      <c r="J374" s="24">
        <v>18.48</v>
      </c>
      <c r="K374" s="32">
        <v>2.3899999999999997</v>
      </c>
      <c r="L374" s="24">
        <v>4.1100000000000003</v>
      </c>
      <c r="M374" s="34"/>
      <c r="N374" s="34"/>
      <c r="O374" s="22" t="str">
        <f>IF(ISNA(VLOOKUP(Table_master_data[[#This Row],[Pick]],Table2[#All],2,FALSE)),"-",VLOOKUP(Table_master_data[[#This Row],[Pick]],Table2[#All],2,FALSE))</f>
        <v>-</v>
      </c>
      <c r="P374" s="22"/>
    </row>
    <row r="375" spans="2:16" x14ac:dyDescent="0.25">
      <c r="B375" s="21">
        <v>116</v>
      </c>
      <c r="C375" s="21" t="s">
        <v>72</v>
      </c>
      <c r="D375" s="21" t="s">
        <v>181</v>
      </c>
      <c r="E375" s="21" t="s">
        <v>183</v>
      </c>
      <c r="F375" s="25">
        <v>0</v>
      </c>
      <c r="G375" s="26">
        <v>4</v>
      </c>
      <c r="H375" s="21" t="s">
        <v>243</v>
      </c>
      <c r="I375" s="23">
        <v>1</v>
      </c>
      <c r="J375" s="24">
        <v>18.16</v>
      </c>
      <c r="K375" s="32">
        <v>1.9900000000000002</v>
      </c>
      <c r="L375" s="24">
        <v>4.54</v>
      </c>
      <c r="M375" s="34"/>
      <c r="N375" s="34"/>
      <c r="O375" s="22" t="str">
        <f>IF(ISNA(VLOOKUP(Table_master_data[[#This Row],[Pick]],Table2[#All],2,FALSE)),"-",VLOOKUP(Table_master_data[[#This Row],[Pick]],Table2[#All],2,FALSE))</f>
        <v>-</v>
      </c>
      <c r="P375" s="22"/>
    </row>
    <row r="376" spans="2:16" x14ac:dyDescent="0.25">
      <c r="B376" s="21">
        <v>659</v>
      </c>
      <c r="C376" s="21" t="s">
        <v>468</v>
      </c>
      <c r="D376" s="21" t="s">
        <v>181</v>
      </c>
      <c r="E376" s="21" t="s">
        <v>372</v>
      </c>
      <c r="F376" s="25">
        <v>0</v>
      </c>
      <c r="G376" s="26">
        <v>4.5</v>
      </c>
      <c r="H376" s="21" t="s">
        <v>243</v>
      </c>
      <c r="I376" s="23">
        <v>1</v>
      </c>
      <c r="J376" s="24">
        <v>18.12</v>
      </c>
      <c r="K376" s="32">
        <v>2.29</v>
      </c>
      <c r="L376" s="24">
        <v>4.03</v>
      </c>
      <c r="M376" s="34"/>
      <c r="N376" s="34"/>
      <c r="O376" s="22" t="str">
        <f>IF(ISNA(VLOOKUP(Table_master_data[[#This Row],[Pick]],Table2[#All],2,FALSE)),"-",VLOOKUP(Table_master_data[[#This Row],[Pick]],Table2[#All],2,FALSE))</f>
        <v>-</v>
      </c>
      <c r="P376" s="22"/>
    </row>
    <row r="377" spans="2:16" x14ac:dyDescent="0.25">
      <c r="B377" s="21">
        <v>431</v>
      </c>
      <c r="C377" s="21" t="s">
        <v>453</v>
      </c>
      <c r="D377" s="21" t="s">
        <v>258</v>
      </c>
      <c r="E377" s="21" t="s">
        <v>193</v>
      </c>
      <c r="F377" s="25">
        <v>8</v>
      </c>
      <c r="G377" s="26">
        <v>5</v>
      </c>
      <c r="H377" s="21" t="s">
        <v>243</v>
      </c>
      <c r="I377" s="23">
        <v>1</v>
      </c>
      <c r="J377" s="24">
        <v>17.82</v>
      </c>
      <c r="K377" s="32">
        <v>4.0200000000000005</v>
      </c>
      <c r="L377" s="24">
        <v>3.56</v>
      </c>
      <c r="M377" s="34"/>
      <c r="N377" s="34"/>
      <c r="O377" s="22" t="str">
        <f>IF(ISNA(VLOOKUP(Table_master_data[[#This Row],[Pick]],Table2[#All],2,FALSE)),"-",VLOOKUP(Table_master_data[[#This Row],[Pick]],Table2[#All],2,FALSE))</f>
        <v>-</v>
      </c>
      <c r="P377" s="22"/>
    </row>
    <row r="378" spans="2:16" x14ac:dyDescent="0.25">
      <c r="B378" s="21">
        <v>159</v>
      </c>
      <c r="C378" s="21" t="s">
        <v>94</v>
      </c>
      <c r="D378" s="21" t="s">
        <v>179</v>
      </c>
      <c r="E378" s="21" t="s">
        <v>373</v>
      </c>
      <c r="F378" s="25">
        <v>7</v>
      </c>
      <c r="G378" s="26">
        <v>6</v>
      </c>
      <c r="H378" s="21" t="s">
        <v>250</v>
      </c>
      <c r="I378" s="23">
        <v>0.25</v>
      </c>
      <c r="J378" s="24">
        <v>17.809999999999999</v>
      </c>
      <c r="K378" s="32">
        <v>1.7200000000000002</v>
      </c>
      <c r="L378" s="24">
        <v>2.97</v>
      </c>
      <c r="M378" s="34"/>
      <c r="N378" s="34"/>
      <c r="O378" s="22" t="str">
        <f>IF(ISNA(VLOOKUP(Table_master_data[[#This Row],[Pick]],Table2[#All],2,FALSE)),"-",VLOOKUP(Table_master_data[[#This Row],[Pick]],Table2[#All],2,FALSE))</f>
        <v>-</v>
      </c>
      <c r="P378" s="22"/>
    </row>
    <row r="379" spans="2:16" x14ac:dyDescent="0.25">
      <c r="B379" s="21">
        <v>535</v>
      </c>
      <c r="C379" s="21" t="s">
        <v>755</v>
      </c>
      <c r="D379" s="21" t="s">
        <v>181</v>
      </c>
      <c r="E379" s="21" t="s">
        <v>802</v>
      </c>
      <c r="F379" s="25">
        <v>0</v>
      </c>
      <c r="G379" s="26">
        <v>4</v>
      </c>
      <c r="H379" s="21" t="s">
        <v>251</v>
      </c>
      <c r="I379" s="23">
        <v>0</v>
      </c>
      <c r="J379" s="24">
        <v>17.3</v>
      </c>
      <c r="K379" s="32">
        <v>1.1499999999999999</v>
      </c>
      <c r="L379" s="24">
        <v>4.32</v>
      </c>
      <c r="M379" s="34"/>
      <c r="N379" s="34"/>
      <c r="O379" s="22" t="str">
        <f>IF(ISNA(VLOOKUP(Table_master_data[[#This Row],[Pick]],Table2[#All],2,FALSE)),"-",VLOOKUP(Table_master_data[[#This Row],[Pick]],Table2[#All],2,FALSE))</f>
        <v>-</v>
      </c>
      <c r="P379" s="22"/>
    </row>
    <row r="380" spans="2:16" x14ac:dyDescent="0.25">
      <c r="B380" s="21">
        <v>111</v>
      </c>
      <c r="C380" s="21" t="s">
        <v>146</v>
      </c>
      <c r="D380" s="21" t="s">
        <v>181</v>
      </c>
      <c r="E380" s="21" t="s">
        <v>183</v>
      </c>
      <c r="F380" s="25">
        <v>47</v>
      </c>
      <c r="G380" s="26">
        <v>4.5</v>
      </c>
      <c r="H380" s="21" t="s">
        <v>243</v>
      </c>
      <c r="I380" s="23">
        <v>1</v>
      </c>
      <c r="J380" s="24">
        <v>17.25</v>
      </c>
      <c r="K380" s="32">
        <v>1.1200000000000001</v>
      </c>
      <c r="L380" s="24">
        <v>3.83</v>
      </c>
      <c r="M380" s="34"/>
      <c r="N380" s="34"/>
      <c r="O380" s="22" t="str">
        <f>IF(ISNA(VLOOKUP(Table_master_data[[#This Row],[Pick]],Table2[#All],2,FALSE)),"-",VLOOKUP(Table_master_data[[#This Row],[Pick]],Table2[#All],2,FALSE))</f>
        <v>-</v>
      </c>
      <c r="P380" s="22"/>
    </row>
    <row r="381" spans="2:16" x14ac:dyDescent="0.25">
      <c r="B381" s="21">
        <v>44</v>
      </c>
      <c r="C381" s="21" t="s">
        <v>524</v>
      </c>
      <c r="D381" s="21" t="s">
        <v>181</v>
      </c>
      <c r="E381" s="21" t="s">
        <v>191</v>
      </c>
      <c r="F381" s="25">
        <v>6</v>
      </c>
      <c r="G381" s="26">
        <v>4</v>
      </c>
      <c r="H381" s="21" t="s">
        <v>243</v>
      </c>
      <c r="I381" s="23">
        <v>1</v>
      </c>
      <c r="J381" s="24">
        <v>17.13</v>
      </c>
      <c r="K381" s="32">
        <v>1.91</v>
      </c>
      <c r="L381" s="24">
        <v>4.28</v>
      </c>
      <c r="M381" s="34"/>
      <c r="N381" s="34"/>
      <c r="O381" s="22" t="str">
        <f>IF(ISNA(VLOOKUP(Table_master_data[[#This Row],[Pick]],Table2[#All],2,FALSE)),"-",VLOOKUP(Table_master_data[[#This Row],[Pick]],Table2[#All],2,FALSE))</f>
        <v>-</v>
      </c>
      <c r="P381" s="22"/>
    </row>
    <row r="382" spans="2:16" x14ac:dyDescent="0.25">
      <c r="B382" s="21">
        <v>12</v>
      </c>
      <c r="C382" s="21" t="s">
        <v>46</v>
      </c>
      <c r="D382" s="21" t="s">
        <v>181</v>
      </c>
      <c r="E382" s="21" t="s">
        <v>194</v>
      </c>
      <c r="F382" s="25">
        <v>40</v>
      </c>
      <c r="G382" s="26">
        <v>5</v>
      </c>
      <c r="H382" s="21" t="s">
        <v>243</v>
      </c>
      <c r="I382" s="23">
        <v>1</v>
      </c>
      <c r="J382" s="24">
        <v>17.05</v>
      </c>
      <c r="K382" s="32">
        <v>1.59</v>
      </c>
      <c r="L382" s="24">
        <v>3.41</v>
      </c>
      <c r="M382" s="34"/>
      <c r="N382" s="34"/>
      <c r="O382" s="22" t="str">
        <f>IF(ISNA(VLOOKUP(Table_master_data[[#This Row],[Pick]],Table2[#All],2,FALSE)),"-",VLOOKUP(Table_master_data[[#This Row],[Pick]],Table2[#All],2,FALSE))</f>
        <v>-</v>
      </c>
      <c r="P382" s="22"/>
    </row>
    <row r="383" spans="2:16" x14ac:dyDescent="0.25">
      <c r="B383" s="21">
        <v>678</v>
      </c>
      <c r="C383" s="21" t="s">
        <v>834</v>
      </c>
      <c r="D383" s="21" t="s">
        <v>181</v>
      </c>
      <c r="E383" s="21" t="s">
        <v>802</v>
      </c>
      <c r="F383" s="25">
        <v>0</v>
      </c>
      <c r="G383" s="26">
        <v>4</v>
      </c>
      <c r="H383" s="21" t="s">
        <v>250</v>
      </c>
      <c r="I383" s="23">
        <v>0.75</v>
      </c>
      <c r="J383" s="24">
        <v>16.55</v>
      </c>
      <c r="K383" s="32">
        <v>1.6500000000000001</v>
      </c>
      <c r="L383" s="24">
        <v>4.1399999999999997</v>
      </c>
      <c r="M383" s="34"/>
      <c r="N383" s="34"/>
      <c r="O383" s="22" t="str">
        <f>IF(ISNA(VLOOKUP(Table_master_data[[#This Row],[Pick]],Table2[#All],2,FALSE)),"-",VLOOKUP(Table_master_data[[#This Row],[Pick]],Table2[#All],2,FALSE))</f>
        <v>-</v>
      </c>
      <c r="P383" s="22"/>
    </row>
    <row r="384" spans="2:16" x14ac:dyDescent="0.25">
      <c r="B384" s="21">
        <v>181</v>
      </c>
      <c r="C384" s="21" t="s">
        <v>556</v>
      </c>
      <c r="D384" s="21" t="s">
        <v>178</v>
      </c>
      <c r="E384" s="21" t="s">
        <v>373</v>
      </c>
      <c r="F384" s="25">
        <v>0</v>
      </c>
      <c r="G384" s="26">
        <v>5</v>
      </c>
      <c r="H384" s="21" t="s">
        <v>243</v>
      </c>
      <c r="I384" s="23">
        <v>1</v>
      </c>
      <c r="J384" s="24">
        <v>16.3</v>
      </c>
      <c r="K384" s="32">
        <v>1.22</v>
      </c>
      <c r="L384" s="24">
        <v>3.26</v>
      </c>
      <c r="M384" s="34"/>
      <c r="N384" s="34"/>
      <c r="O384" s="22" t="str">
        <f>IF(ISNA(VLOOKUP(Table_master_data[[#This Row],[Pick]],Table2[#All],2,FALSE)),"-",VLOOKUP(Table_master_data[[#This Row],[Pick]],Table2[#All],2,FALSE))</f>
        <v>-</v>
      </c>
      <c r="P384" s="22" t="s">
        <v>838</v>
      </c>
    </row>
    <row r="385" spans="2:16" x14ac:dyDescent="0.25">
      <c r="B385" s="21">
        <v>180</v>
      </c>
      <c r="C385" s="21" t="s">
        <v>557</v>
      </c>
      <c r="D385" s="21" t="s">
        <v>178</v>
      </c>
      <c r="E385" s="21" t="s">
        <v>373</v>
      </c>
      <c r="F385" s="25">
        <v>0</v>
      </c>
      <c r="G385" s="26">
        <v>5.5</v>
      </c>
      <c r="H385" s="21" t="s">
        <v>243</v>
      </c>
      <c r="I385" s="23">
        <v>1</v>
      </c>
      <c r="J385" s="24">
        <v>16.12</v>
      </c>
      <c r="K385" s="32">
        <v>1.07</v>
      </c>
      <c r="L385" s="24">
        <v>2.93</v>
      </c>
      <c r="M385" s="34"/>
      <c r="N385" s="34"/>
      <c r="O385" s="22" t="str">
        <f>IF(ISNA(VLOOKUP(Table_master_data[[#This Row],[Pick]],Table2[#All],2,FALSE)),"-",VLOOKUP(Table_master_data[[#This Row],[Pick]],Table2[#All],2,FALSE))</f>
        <v>-</v>
      </c>
      <c r="P385" s="22"/>
    </row>
    <row r="386" spans="2:16" x14ac:dyDescent="0.25">
      <c r="B386" s="21">
        <v>296</v>
      </c>
      <c r="C386" s="21" t="s">
        <v>103</v>
      </c>
      <c r="D386" s="21" t="s">
        <v>181</v>
      </c>
      <c r="E386" s="21" t="s">
        <v>185</v>
      </c>
      <c r="F386" s="25">
        <v>14</v>
      </c>
      <c r="G386" s="26">
        <v>4.5</v>
      </c>
      <c r="H386" s="21" t="s">
        <v>250</v>
      </c>
      <c r="I386" s="23">
        <v>0.75</v>
      </c>
      <c r="J386" s="24">
        <v>15.88</v>
      </c>
      <c r="K386" s="32">
        <v>2.1599999999999997</v>
      </c>
      <c r="L386" s="24">
        <v>3.53</v>
      </c>
      <c r="M386" s="34"/>
      <c r="N386" s="34"/>
      <c r="O386" s="22" t="str">
        <f>IF(ISNA(VLOOKUP(Table_master_data[[#This Row],[Pick]],Table2[#All],2,FALSE)),"-",VLOOKUP(Table_master_data[[#This Row],[Pick]],Table2[#All],2,FALSE))</f>
        <v>-</v>
      </c>
      <c r="P386" s="22"/>
    </row>
    <row r="387" spans="2:16" x14ac:dyDescent="0.25">
      <c r="B387" s="21">
        <v>331</v>
      </c>
      <c r="C387" s="21" t="s">
        <v>81</v>
      </c>
      <c r="D387" s="21" t="s">
        <v>179</v>
      </c>
      <c r="E387" s="21" t="s">
        <v>189</v>
      </c>
      <c r="F387" s="25">
        <v>33</v>
      </c>
      <c r="G387" s="26">
        <v>5</v>
      </c>
      <c r="H387" s="21" t="s">
        <v>243</v>
      </c>
      <c r="I387" s="23">
        <v>1</v>
      </c>
      <c r="J387" s="24">
        <v>15.87</v>
      </c>
      <c r="K387" s="32">
        <v>1.81</v>
      </c>
      <c r="L387" s="24">
        <v>3.17</v>
      </c>
      <c r="M387" s="34"/>
      <c r="N387" s="34"/>
      <c r="O387" s="22" t="str">
        <f>IF(ISNA(VLOOKUP(Table_master_data[[#This Row],[Pick]],Table2[#All],2,FALSE)),"-",VLOOKUP(Table_master_data[[#This Row],[Pick]],Table2[#All],2,FALSE))</f>
        <v>-</v>
      </c>
      <c r="P387" s="22"/>
    </row>
    <row r="388" spans="2:16" x14ac:dyDescent="0.25">
      <c r="B388" s="21">
        <v>636</v>
      </c>
      <c r="C388" s="21" t="s">
        <v>486</v>
      </c>
      <c r="D388" s="21" t="s">
        <v>181</v>
      </c>
      <c r="E388" s="21" t="s">
        <v>182</v>
      </c>
      <c r="F388" s="25">
        <v>52</v>
      </c>
      <c r="G388" s="26">
        <v>4.5</v>
      </c>
      <c r="H388" s="21" t="s">
        <v>243</v>
      </c>
      <c r="I388" s="23">
        <v>1</v>
      </c>
      <c r="J388" s="24">
        <v>15.82</v>
      </c>
      <c r="K388" s="32">
        <v>1.65</v>
      </c>
      <c r="L388" s="24">
        <v>3.51</v>
      </c>
      <c r="M388" s="34"/>
      <c r="N388" s="34"/>
      <c r="O388" s="22" t="str">
        <f>IF(ISNA(VLOOKUP(Table_master_data[[#This Row],[Pick]],Table2[#All],2,FALSE)),"-",VLOOKUP(Table_master_data[[#This Row],[Pick]],Table2[#All],2,FALSE))</f>
        <v>-</v>
      </c>
      <c r="P388" s="22"/>
    </row>
    <row r="389" spans="2:16" x14ac:dyDescent="0.25">
      <c r="B389" s="21">
        <v>656</v>
      </c>
      <c r="C389" s="21" t="s">
        <v>810</v>
      </c>
      <c r="D389" s="21" t="s">
        <v>178</v>
      </c>
      <c r="E389" s="21" t="s">
        <v>182</v>
      </c>
      <c r="F389" s="25">
        <v>0</v>
      </c>
      <c r="G389" s="26">
        <v>5</v>
      </c>
      <c r="H389" s="21" t="s">
        <v>243</v>
      </c>
      <c r="I389" s="23">
        <v>1</v>
      </c>
      <c r="J389" s="24">
        <v>15.82</v>
      </c>
      <c r="K389" s="32">
        <v>1.8900000000000001</v>
      </c>
      <c r="L389" s="24">
        <v>3.16</v>
      </c>
      <c r="M389" s="34"/>
      <c r="N389" s="34"/>
      <c r="O389" s="22" t="str">
        <f>IF(ISNA(VLOOKUP(Table_master_data[[#This Row],[Pick]],Table2[#All],2,FALSE)),"-",VLOOKUP(Table_master_data[[#This Row],[Pick]],Table2[#All],2,FALSE))</f>
        <v>-</v>
      </c>
      <c r="P389" s="22"/>
    </row>
    <row r="390" spans="2:16" x14ac:dyDescent="0.25">
      <c r="B390" s="21">
        <v>320</v>
      </c>
      <c r="C390" s="21" t="s">
        <v>139</v>
      </c>
      <c r="D390" s="21" t="s">
        <v>181</v>
      </c>
      <c r="E390" s="21" t="s">
        <v>189</v>
      </c>
      <c r="F390" s="25">
        <v>31</v>
      </c>
      <c r="G390" s="26">
        <v>4.5</v>
      </c>
      <c r="H390" s="21" t="s">
        <v>243</v>
      </c>
      <c r="I390" s="23">
        <v>1</v>
      </c>
      <c r="J390" s="24">
        <v>15.73</v>
      </c>
      <c r="K390" s="32">
        <v>2.67</v>
      </c>
      <c r="L390" s="24">
        <v>3.5</v>
      </c>
      <c r="M390" s="34"/>
      <c r="N390" s="34"/>
      <c r="O390" s="22" t="str">
        <f>IF(ISNA(VLOOKUP(Table_master_data[[#This Row],[Pick]],Table2[#All],2,FALSE)),"-",VLOOKUP(Table_master_data[[#This Row],[Pick]],Table2[#All],2,FALSE))</f>
        <v>-</v>
      </c>
      <c r="P390" s="22"/>
    </row>
    <row r="391" spans="2:16" x14ac:dyDescent="0.25">
      <c r="B391" s="21">
        <v>572</v>
      </c>
      <c r="C391" s="21" t="s">
        <v>472</v>
      </c>
      <c r="D391" s="21" t="s">
        <v>181</v>
      </c>
      <c r="E391" s="21" t="s">
        <v>192</v>
      </c>
      <c r="F391" s="25">
        <v>24</v>
      </c>
      <c r="G391" s="26">
        <v>4.5</v>
      </c>
      <c r="H391" s="21" t="s">
        <v>251</v>
      </c>
      <c r="I391" s="23">
        <v>0</v>
      </c>
      <c r="J391" s="24">
        <v>15.72</v>
      </c>
      <c r="K391" s="32">
        <v>0.49</v>
      </c>
      <c r="L391" s="24">
        <v>3.49</v>
      </c>
      <c r="M391" s="34"/>
      <c r="N391" s="34"/>
      <c r="O391" s="22" t="str">
        <f>IF(ISNA(VLOOKUP(Table_master_data[[#This Row],[Pick]],Table2[#All],2,FALSE)),"-",VLOOKUP(Table_master_data[[#This Row],[Pick]],Table2[#All],2,FALSE))</f>
        <v>-</v>
      </c>
      <c r="P391" s="22"/>
    </row>
    <row r="392" spans="2:16" x14ac:dyDescent="0.25">
      <c r="B392" s="21">
        <v>148</v>
      </c>
      <c r="C392" s="21" t="s">
        <v>530</v>
      </c>
      <c r="D392" s="21" t="s">
        <v>181</v>
      </c>
      <c r="E392" s="21" t="s">
        <v>373</v>
      </c>
      <c r="F392" s="25">
        <v>19</v>
      </c>
      <c r="G392" s="26">
        <v>4.5</v>
      </c>
      <c r="H392" s="21" t="s">
        <v>243</v>
      </c>
      <c r="I392" s="23">
        <v>1</v>
      </c>
      <c r="J392" s="24">
        <v>15.36</v>
      </c>
      <c r="K392" s="32">
        <v>1.97</v>
      </c>
      <c r="L392" s="24">
        <v>3.41</v>
      </c>
      <c r="M392" s="34"/>
      <c r="N392" s="34"/>
      <c r="O392" s="22" t="str">
        <f>IF(ISNA(VLOOKUP(Table_master_data[[#This Row],[Pick]],Table2[#All],2,FALSE)),"-",VLOOKUP(Table_master_data[[#This Row],[Pick]],Table2[#All],2,FALSE))</f>
        <v>-</v>
      </c>
      <c r="P392" s="22"/>
    </row>
    <row r="393" spans="2:16" x14ac:dyDescent="0.25">
      <c r="B393" s="21">
        <v>537</v>
      </c>
      <c r="C393" s="21" t="s">
        <v>757</v>
      </c>
      <c r="D393" s="21" t="s">
        <v>181</v>
      </c>
      <c r="E393" s="21" t="s">
        <v>802</v>
      </c>
      <c r="F393" s="25">
        <v>0</v>
      </c>
      <c r="G393" s="26">
        <v>4</v>
      </c>
      <c r="H393" s="21" t="s">
        <v>243</v>
      </c>
      <c r="I393" s="23">
        <v>1</v>
      </c>
      <c r="J393" s="24">
        <v>15.21</v>
      </c>
      <c r="K393" s="32">
        <v>3.5700000000000003</v>
      </c>
      <c r="L393" s="24">
        <v>3.8</v>
      </c>
      <c r="M393" s="34"/>
      <c r="N393" s="34"/>
      <c r="O393" s="22" t="str">
        <f>IF(ISNA(VLOOKUP(Table_master_data[[#This Row],[Pick]],Table2[#All],2,FALSE)),"-",VLOOKUP(Table_master_data[[#This Row],[Pick]],Table2[#All],2,FALSE))</f>
        <v>-</v>
      </c>
      <c r="P393" s="22"/>
    </row>
    <row r="394" spans="2:16" x14ac:dyDescent="0.25">
      <c r="B394" s="21">
        <v>240</v>
      </c>
      <c r="C394" s="21" t="s">
        <v>274</v>
      </c>
      <c r="D394" s="21" t="s">
        <v>179</v>
      </c>
      <c r="E394" s="21" t="s">
        <v>187</v>
      </c>
      <c r="F394" s="25">
        <v>60</v>
      </c>
      <c r="G394" s="26">
        <v>6</v>
      </c>
      <c r="H394" s="21" t="s">
        <v>243</v>
      </c>
      <c r="I394" s="23">
        <v>1</v>
      </c>
      <c r="J394" s="24">
        <v>14.88</v>
      </c>
      <c r="K394" s="32">
        <v>2.35</v>
      </c>
      <c r="L394" s="24">
        <v>2.48</v>
      </c>
      <c r="M394" s="34"/>
      <c r="N394" s="34"/>
      <c r="O394" s="22" t="str">
        <f>IF(ISNA(VLOOKUP(Table_master_data[[#This Row],[Pick]],Table2[#All],2,FALSE)),"-",VLOOKUP(Table_master_data[[#This Row],[Pick]],Table2[#All],2,FALSE))</f>
        <v>-</v>
      </c>
      <c r="P394" s="22"/>
    </row>
    <row r="395" spans="2:16" x14ac:dyDescent="0.25">
      <c r="B395" s="21">
        <v>410</v>
      </c>
      <c r="C395" s="21" t="s">
        <v>448</v>
      </c>
      <c r="D395" s="21" t="s">
        <v>181</v>
      </c>
      <c r="E395" s="21" t="s">
        <v>184</v>
      </c>
      <c r="F395" s="25">
        <v>66</v>
      </c>
      <c r="G395" s="26">
        <v>5</v>
      </c>
      <c r="H395" s="21" t="s">
        <v>243</v>
      </c>
      <c r="I395" s="23">
        <v>1</v>
      </c>
      <c r="J395" s="24">
        <v>14.75</v>
      </c>
      <c r="K395" s="32">
        <v>1.57</v>
      </c>
      <c r="L395" s="24">
        <v>2.95</v>
      </c>
      <c r="M395" s="34"/>
      <c r="N395" s="34"/>
      <c r="O395" s="22" t="str">
        <f>IF(ISNA(VLOOKUP(Table_master_data[[#This Row],[Pick]],Table2[#All],2,FALSE)),"-",VLOOKUP(Table_master_data[[#This Row],[Pick]],Table2[#All],2,FALSE))</f>
        <v>-</v>
      </c>
      <c r="P395" s="22"/>
    </row>
    <row r="396" spans="2:16" x14ac:dyDescent="0.25">
      <c r="B396" s="21">
        <v>356</v>
      </c>
      <c r="C396" s="21" t="s">
        <v>685</v>
      </c>
      <c r="D396" s="21" t="s">
        <v>179</v>
      </c>
      <c r="E396" s="21" t="s">
        <v>815</v>
      </c>
      <c r="F396" s="25">
        <v>0</v>
      </c>
      <c r="G396" s="26">
        <v>5</v>
      </c>
      <c r="H396" s="21" t="s">
        <v>243</v>
      </c>
      <c r="I396" s="23">
        <v>1</v>
      </c>
      <c r="J396" s="24">
        <v>14.64</v>
      </c>
      <c r="K396" s="32">
        <v>1.4400000000000002</v>
      </c>
      <c r="L396" s="24">
        <v>2.93</v>
      </c>
      <c r="M396" s="34"/>
      <c r="N396" s="34"/>
      <c r="O396" s="22" t="str">
        <f>IF(ISNA(VLOOKUP(Table_master_data[[#This Row],[Pick]],Table2[#All],2,FALSE)),"-",VLOOKUP(Table_master_data[[#This Row],[Pick]],Table2[#All],2,FALSE))</f>
        <v>-</v>
      </c>
      <c r="P396" s="22"/>
    </row>
    <row r="397" spans="2:16" x14ac:dyDescent="0.25">
      <c r="B397" s="21">
        <v>411</v>
      </c>
      <c r="C397" s="21" t="s">
        <v>703</v>
      </c>
      <c r="D397" s="21" t="s">
        <v>181</v>
      </c>
      <c r="E397" s="21" t="s">
        <v>184</v>
      </c>
      <c r="F397" s="25">
        <v>31</v>
      </c>
      <c r="G397" s="26">
        <v>5</v>
      </c>
      <c r="H397" s="21" t="s">
        <v>243</v>
      </c>
      <c r="I397" s="23">
        <v>1</v>
      </c>
      <c r="J397" s="24">
        <v>14.47</v>
      </c>
      <c r="K397" s="32">
        <v>1.8599999999999999</v>
      </c>
      <c r="L397" s="24">
        <v>2.89</v>
      </c>
      <c r="M397" s="34"/>
      <c r="N397" s="34"/>
      <c r="O397" s="22" t="str">
        <f>IF(ISNA(VLOOKUP(Table_master_data[[#This Row],[Pick]],Table2[#All],2,FALSE)),"-",VLOOKUP(Table_master_data[[#This Row],[Pick]],Table2[#All],2,FALSE))</f>
        <v>-</v>
      </c>
      <c r="P397" s="22"/>
    </row>
    <row r="398" spans="2:16" x14ac:dyDescent="0.25">
      <c r="B398" s="21">
        <v>276</v>
      </c>
      <c r="C398" s="21" t="s">
        <v>589</v>
      </c>
      <c r="D398" s="21" t="s">
        <v>179</v>
      </c>
      <c r="E398" s="21" t="s">
        <v>188</v>
      </c>
      <c r="F398" s="25">
        <v>34</v>
      </c>
      <c r="G398" s="26">
        <v>4.5</v>
      </c>
      <c r="H398" s="21" t="s">
        <v>243</v>
      </c>
      <c r="I398" s="23">
        <v>1</v>
      </c>
      <c r="J398" s="24">
        <v>13.98</v>
      </c>
      <c r="K398" s="32">
        <v>2.2799999999999998</v>
      </c>
      <c r="L398" s="24">
        <v>3.11</v>
      </c>
      <c r="M398" s="34"/>
      <c r="N398" s="34"/>
      <c r="O398" s="22" t="str">
        <f>IF(ISNA(VLOOKUP(Table_master_data[[#This Row],[Pick]],Table2[#All],2,FALSE)),"-",VLOOKUP(Table_master_data[[#This Row],[Pick]],Table2[#All],2,FALSE))</f>
        <v>-</v>
      </c>
      <c r="P398" s="22"/>
    </row>
    <row r="399" spans="2:16" x14ac:dyDescent="0.25">
      <c r="B399" s="21">
        <v>150</v>
      </c>
      <c r="C399" s="21" t="s">
        <v>123</v>
      </c>
      <c r="D399" s="21" t="s">
        <v>181</v>
      </c>
      <c r="E399" s="21" t="s">
        <v>373</v>
      </c>
      <c r="F399" s="25">
        <v>42</v>
      </c>
      <c r="G399" s="26">
        <v>4.5</v>
      </c>
      <c r="H399" s="21" t="s">
        <v>243</v>
      </c>
      <c r="I399" s="23">
        <v>1</v>
      </c>
      <c r="J399" s="24">
        <v>13.84</v>
      </c>
      <c r="K399" s="32">
        <v>1.34</v>
      </c>
      <c r="L399" s="24">
        <v>3.08</v>
      </c>
      <c r="M399" s="34"/>
      <c r="N399" s="34"/>
      <c r="O399" s="22" t="str">
        <f>IF(ISNA(VLOOKUP(Table_master_data[[#This Row],[Pick]],Table2[#All],2,FALSE)),"-",VLOOKUP(Table_master_data[[#This Row],[Pick]],Table2[#All],2,FALSE))</f>
        <v>-</v>
      </c>
      <c r="P399" s="22"/>
    </row>
    <row r="400" spans="2:16" x14ac:dyDescent="0.25">
      <c r="B400" s="21">
        <v>279</v>
      </c>
      <c r="C400" s="21" t="s">
        <v>595</v>
      </c>
      <c r="D400" s="21" t="s">
        <v>179</v>
      </c>
      <c r="E400" s="21" t="s">
        <v>188</v>
      </c>
      <c r="F400" s="25">
        <v>9</v>
      </c>
      <c r="G400" s="26">
        <v>4.5</v>
      </c>
      <c r="H400" s="21" t="s">
        <v>250</v>
      </c>
      <c r="I400" s="23">
        <v>0.25</v>
      </c>
      <c r="J400" s="24">
        <v>13.82</v>
      </c>
      <c r="K400" s="32">
        <v>1.8300000000000003</v>
      </c>
      <c r="L400" s="24">
        <v>3.07</v>
      </c>
      <c r="M400" s="34"/>
      <c r="N400" s="34"/>
      <c r="O400" s="22" t="str">
        <f>IF(ISNA(VLOOKUP(Table_master_data[[#This Row],[Pick]],Table2[#All],2,FALSE)),"-",VLOOKUP(Table_master_data[[#This Row],[Pick]],Table2[#All],2,FALSE))</f>
        <v>-</v>
      </c>
      <c r="P400" s="22"/>
    </row>
    <row r="401" spans="2:16" x14ac:dyDescent="0.25">
      <c r="B401" s="21">
        <v>392</v>
      </c>
      <c r="C401" s="21" t="s">
        <v>442</v>
      </c>
      <c r="D401" s="21" t="s">
        <v>179</v>
      </c>
      <c r="E401" s="21" t="s">
        <v>180</v>
      </c>
      <c r="F401" s="25">
        <v>21</v>
      </c>
      <c r="G401" s="26">
        <v>5</v>
      </c>
      <c r="H401" s="21" t="s">
        <v>243</v>
      </c>
      <c r="I401" s="23">
        <v>1</v>
      </c>
      <c r="J401" s="24">
        <v>13.39</v>
      </c>
      <c r="K401" s="32">
        <v>1.9</v>
      </c>
      <c r="L401" s="24">
        <v>2.68</v>
      </c>
      <c r="M401" s="34"/>
      <c r="N401" s="34"/>
      <c r="O401" s="22" t="str">
        <f>IF(ISNA(VLOOKUP(Table_master_data[[#This Row],[Pick]],Table2[#All],2,FALSE)),"-",VLOOKUP(Table_master_data[[#This Row],[Pick]],Table2[#All],2,FALSE))</f>
        <v>-</v>
      </c>
      <c r="P401" s="22"/>
    </row>
    <row r="402" spans="2:16" x14ac:dyDescent="0.25">
      <c r="B402" s="21">
        <v>198</v>
      </c>
      <c r="C402" s="21" t="s">
        <v>434</v>
      </c>
      <c r="D402" s="21" t="s">
        <v>181</v>
      </c>
      <c r="E402" s="21" t="s">
        <v>508</v>
      </c>
      <c r="F402" s="25">
        <v>27</v>
      </c>
      <c r="G402" s="26">
        <v>4</v>
      </c>
      <c r="H402" s="21" t="s">
        <v>243</v>
      </c>
      <c r="I402" s="23">
        <v>1</v>
      </c>
      <c r="J402" s="24">
        <v>13.34</v>
      </c>
      <c r="K402" s="32">
        <v>1.1000000000000001</v>
      </c>
      <c r="L402" s="24">
        <v>3.33</v>
      </c>
      <c r="M402" s="34"/>
      <c r="N402" s="34"/>
      <c r="O402" s="22" t="str">
        <f>IF(ISNA(VLOOKUP(Table_master_data[[#This Row],[Pick]],Table2[#All],2,FALSE)),"-",VLOOKUP(Table_master_data[[#This Row],[Pick]],Table2[#All],2,FALSE))</f>
        <v>-</v>
      </c>
      <c r="P402" s="22"/>
    </row>
    <row r="403" spans="2:16" x14ac:dyDescent="0.25">
      <c r="B403" s="21">
        <v>349</v>
      </c>
      <c r="C403" s="21" t="s">
        <v>669</v>
      </c>
      <c r="D403" s="21" t="s">
        <v>181</v>
      </c>
      <c r="E403" s="21" t="s">
        <v>815</v>
      </c>
      <c r="F403" s="25">
        <v>0</v>
      </c>
      <c r="G403" s="26">
        <v>4</v>
      </c>
      <c r="H403" s="21" t="s">
        <v>243</v>
      </c>
      <c r="I403" s="23">
        <v>1</v>
      </c>
      <c r="J403" s="24">
        <v>13.01</v>
      </c>
      <c r="K403" s="32">
        <v>2.36</v>
      </c>
      <c r="L403" s="24">
        <v>3.25</v>
      </c>
      <c r="M403" s="34"/>
      <c r="N403" s="34"/>
      <c r="O403" s="22" t="str">
        <f>IF(ISNA(VLOOKUP(Table_master_data[[#This Row],[Pick]],Table2[#All],2,FALSE)),"-",VLOOKUP(Table_master_data[[#This Row],[Pick]],Table2[#All],2,FALSE))</f>
        <v>-</v>
      </c>
      <c r="P403" s="22"/>
    </row>
    <row r="404" spans="2:16" x14ac:dyDescent="0.25">
      <c r="B404" s="21">
        <v>182</v>
      </c>
      <c r="C404" s="21" t="s">
        <v>705</v>
      </c>
      <c r="D404" s="21" t="s">
        <v>258</v>
      </c>
      <c r="E404" s="21" t="s">
        <v>184</v>
      </c>
      <c r="F404" s="25">
        <v>0</v>
      </c>
      <c r="G404" s="26">
        <v>5</v>
      </c>
      <c r="H404" s="21" t="s">
        <v>243</v>
      </c>
      <c r="I404" s="23">
        <v>1</v>
      </c>
      <c r="J404" s="24">
        <v>12.99</v>
      </c>
      <c r="K404" s="32">
        <v>1.46</v>
      </c>
      <c r="L404" s="24">
        <v>2.6</v>
      </c>
      <c r="M404" s="34"/>
      <c r="N404" s="34"/>
      <c r="O404" s="22" t="str">
        <f>IF(ISNA(VLOOKUP(Table_master_data[[#This Row],[Pick]],Table2[#All],2,FALSE)),"-",VLOOKUP(Table_master_data[[#This Row],[Pick]],Table2[#All],2,FALSE))</f>
        <v>-</v>
      </c>
      <c r="P404" s="22"/>
    </row>
    <row r="405" spans="2:16" x14ac:dyDescent="0.25">
      <c r="B405" s="21">
        <v>341</v>
      </c>
      <c r="C405" s="21" t="s">
        <v>676</v>
      </c>
      <c r="D405" s="21" t="s">
        <v>258</v>
      </c>
      <c r="E405" s="21" t="s">
        <v>815</v>
      </c>
      <c r="F405" s="25">
        <v>0</v>
      </c>
      <c r="G405" s="26">
        <v>4</v>
      </c>
      <c r="H405" s="21" t="s">
        <v>243</v>
      </c>
      <c r="I405" s="23">
        <v>1</v>
      </c>
      <c r="J405" s="24">
        <v>12.83</v>
      </c>
      <c r="K405" s="32">
        <v>0.75</v>
      </c>
      <c r="L405" s="24">
        <v>3.21</v>
      </c>
      <c r="M405" s="34"/>
      <c r="N405" s="34"/>
      <c r="O405" s="22" t="str">
        <f>IF(ISNA(VLOOKUP(Table_master_data[[#This Row],[Pick]],Table2[#All],2,FALSE)),"-",VLOOKUP(Table_master_data[[#This Row],[Pick]],Table2[#All],2,FALSE))</f>
        <v>-</v>
      </c>
      <c r="P405" s="22"/>
    </row>
    <row r="406" spans="2:16" x14ac:dyDescent="0.25">
      <c r="B406" s="21">
        <v>511</v>
      </c>
      <c r="C406" s="21" t="s">
        <v>735</v>
      </c>
      <c r="D406" s="21" t="s">
        <v>181</v>
      </c>
      <c r="E406" s="21" t="s">
        <v>374</v>
      </c>
      <c r="F406" s="25">
        <v>36</v>
      </c>
      <c r="G406" s="26">
        <v>4.5</v>
      </c>
      <c r="H406" s="21" t="s">
        <v>243</v>
      </c>
      <c r="I406" s="23">
        <v>1</v>
      </c>
      <c r="J406" s="24">
        <v>12.78</v>
      </c>
      <c r="K406" s="32">
        <v>2.0300000000000002</v>
      </c>
      <c r="L406" s="24">
        <v>2.84</v>
      </c>
      <c r="M406" s="34"/>
      <c r="N406" s="34"/>
      <c r="O406" s="22" t="str">
        <f>IF(ISNA(VLOOKUP(Table_master_data[[#This Row],[Pick]],Table2[#All],2,FALSE)),"-",VLOOKUP(Table_master_data[[#This Row],[Pick]],Table2[#All],2,FALSE))</f>
        <v>-</v>
      </c>
      <c r="P406" s="22"/>
    </row>
    <row r="407" spans="2:16" x14ac:dyDescent="0.25">
      <c r="B407" s="21">
        <v>285</v>
      </c>
      <c r="C407" s="21" t="s">
        <v>613</v>
      </c>
      <c r="D407" s="21" t="s">
        <v>178</v>
      </c>
      <c r="E407" s="21" t="s">
        <v>188</v>
      </c>
      <c r="F407" s="25">
        <v>7</v>
      </c>
      <c r="G407" s="26">
        <v>5</v>
      </c>
      <c r="H407" s="21" t="s">
        <v>243</v>
      </c>
      <c r="I407" s="23">
        <v>1</v>
      </c>
      <c r="J407" s="24">
        <v>12.63</v>
      </c>
      <c r="K407" s="32">
        <v>1.7</v>
      </c>
      <c r="L407" s="24">
        <v>2.5299999999999998</v>
      </c>
      <c r="M407" s="34"/>
      <c r="N407" s="34"/>
      <c r="O407" s="22" t="str">
        <f>IF(ISNA(VLOOKUP(Table_master_data[[#This Row],[Pick]],Table2[#All],2,FALSE)),"-",VLOOKUP(Table_master_data[[#This Row],[Pick]],Table2[#All],2,FALSE))</f>
        <v>-</v>
      </c>
      <c r="P407" s="22"/>
    </row>
    <row r="408" spans="2:16" x14ac:dyDescent="0.25">
      <c r="B408" s="21">
        <v>385</v>
      </c>
      <c r="C408" s="21" t="s">
        <v>699</v>
      </c>
      <c r="D408" s="21" t="s">
        <v>179</v>
      </c>
      <c r="E408" s="21" t="s">
        <v>180</v>
      </c>
      <c r="F408" s="25">
        <v>7</v>
      </c>
      <c r="G408" s="26">
        <v>6.5</v>
      </c>
      <c r="H408" s="21" t="s">
        <v>243</v>
      </c>
      <c r="I408" s="23">
        <v>1</v>
      </c>
      <c r="J408" s="24">
        <v>12.56</v>
      </c>
      <c r="K408" s="32">
        <v>1.3900000000000001</v>
      </c>
      <c r="L408" s="24">
        <v>1.93</v>
      </c>
      <c r="M408" s="34"/>
      <c r="N408" s="34"/>
      <c r="O408" s="22" t="str">
        <f>IF(ISNA(VLOOKUP(Table_master_data[[#This Row],[Pick]],Table2[#All],2,FALSE)),"-",VLOOKUP(Table_master_data[[#This Row],[Pick]],Table2[#All],2,FALSE))</f>
        <v>-</v>
      </c>
      <c r="P408" s="22"/>
    </row>
    <row r="409" spans="2:16" x14ac:dyDescent="0.25">
      <c r="B409" s="21">
        <v>523</v>
      </c>
      <c r="C409" s="21" t="s">
        <v>464</v>
      </c>
      <c r="D409" s="21" t="s">
        <v>179</v>
      </c>
      <c r="E409" s="21" t="s">
        <v>374</v>
      </c>
      <c r="F409" s="25">
        <v>2</v>
      </c>
      <c r="G409" s="26">
        <v>4.5</v>
      </c>
      <c r="H409" s="21" t="s">
        <v>243</v>
      </c>
      <c r="I409" s="23">
        <v>1</v>
      </c>
      <c r="J409" s="24">
        <v>12.54</v>
      </c>
      <c r="K409" s="32">
        <v>1.88</v>
      </c>
      <c r="L409" s="24">
        <v>2.79</v>
      </c>
      <c r="M409" s="34"/>
      <c r="N409" s="34"/>
      <c r="O409" s="22" t="str">
        <f>IF(ISNA(VLOOKUP(Table_master_data[[#This Row],[Pick]],Table2[#All],2,FALSE)),"-",VLOOKUP(Table_master_data[[#This Row],[Pick]],Table2[#All],2,FALSE))</f>
        <v>-</v>
      </c>
      <c r="P409" s="22"/>
    </row>
    <row r="410" spans="2:16" x14ac:dyDescent="0.25">
      <c r="B410" s="21">
        <v>608</v>
      </c>
      <c r="C410" s="21" t="s">
        <v>788</v>
      </c>
      <c r="D410" s="21" t="s">
        <v>181</v>
      </c>
      <c r="E410" s="21" t="s">
        <v>372</v>
      </c>
      <c r="F410" s="25">
        <v>29</v>
      </c>
      <c r="G410" s="26">
        <v>4.5</v>
      </c>
      <c r="H410" s="21" t="s">
        <v>243</v>
      </c>
      <c r="I410" s="23">
        <v>1</v>
      </c>
      <c r="J410" s="24">
        <v>12.23</v>
      </c>
      <c r="K410" s="32">
        <v>1.7600000000000002</v>
      </c>
      <c r="L410" s="24">
        <v>2.72</v>
      </c>
      <c r="M410" s="34"/>
      <c r="N410" s="34"/>
      <c r="O410" s="22" t="str">
        <f>IF(ISNA(VLOOKUP(Table_master_data[[#This Row],[Pick]],Table2[#All],2,FALSE)),"-",VLOOKUP(Table_master_data[[#This Row],[Pick]],Table2[#All],2,FALSE))</f>
        <v>-</v>
      </c>
      <c r="P410" s="22"/>
    </row>
    <row r="411" spans="2:16" x14ac:dyDescent="0.25">
      <c r="B411" s="21">
        <v>606</v>
      </c>
      <c r="C411" s="21" t="s">
        <v>476</v>
      </c>
      <c r="D411" s="21" t="s">
        <v>181</v>
      </c>
      <c r="E411" s="21" t="s">
        <v>372</v>
      </c>
      <c r="F411" s="25">
        <v>45</v>
      </c>
      <c r="G411" s="26">
        <v>4.5</v>
      </c>
      <c r="H411" s="21" t="s">
        <v>243</v>
      </c>
      <c r="I411" s="23">
        <v>1</v>
      </c>
      <c r="J411" s="24">
        <v>12.17</v>
      </c>
      <c r="K411" s="32">
        <v>1.3800000000000001</v>
      </c>
      <c r="L411" s="24">
        <v>2.7</v>
      </c>
      <c r="M411" s="34"/>
      <c r="N411" s="34"/>
      <c r="O411" s="22" t="str">
        <f>IF(ISNA(VLOOKUP(Table_master_data[[#This Row],[Pick]],Table2[#All],2,FALSE)),"-",VLOOKUP(Table_master_data[[#This Row],[Pick]],Table2[#All],2,FALSE))</f>
        <v>-</v>
      </c>
      <c r="P411" s="22"/>
    </row>
    <row r="412" spans="2:16" x14ac:dyDescent="0.25">
      <c r="B412" s="21">
        <v>233</v>
      </c>
      <c r="C412" s="21" t="s">
        <v>545</v>
      </c>
      <c r="D412" s="21" t="s">
        <v>181</v>
      </c>
      <c r="E412" s="21" t="s">
        <v>187</v>
      </c>
      <c r="F412" s="25">
        <v>4</v>
      </c>
      <c r="G412" s="26">
        <v>4</v>
      </c>
      <c r="H412" s="21" t="s">
        <v>243</v>
      </c>
      <c r="I412" s="23">
        <v>1</v>
      </c>
      <c r="J412" s="24">
        <v>12.09</v>
      </c>
      <c r="K412" s="32">
        <v>0.8899999999999999</v>
      </c>
      <c r="L412" s="24">
        <v>3.02</v>
      </c>
      <c r="M412" s="34"/>
      <c r="N412" s="34"/>
      <c r="O412" s="22" t="str">
        <f>IF(ISNA(VLOOKUP(Table_master_data[[#This Row],[Pick]],Table2[#All],2,FALSE)),"-",VLOOKUP(Table_master_data[[#This Row],[Pick]],Table2[#All],2,FALSE))</f>
        <v>-</v>
      </c>
      <c r="P412" s="22"/>
    </row>
    <row r="413" spans="2:16" x14ac:dyDescent="0.25">
      <c r="B413" s="21">
        <v>551</v>
      </c>
      <c r="C413" s="21" t="s">
        <v>781</v>
      </c>
      <c r="D413" s="21" t="s">
        <v>179</v>
      </c>
      <c r="E413" s="21" t="s">
        <v>802</v>
      </c>
      <c r="F413" s="25">
        <v>0</v>
      </c>
      <c r="G413" s="26">
        <v>5</v>
      </c>
      <c r="H413" s="21" t="s">
        <v>243</v>
      </c>
      <c r="I413" s="23">
        <v>1</v>
      </c>
      <c r="J413" s="24">
        <v>12.07</v>
      </c>
      <c r="K413" s="32">
        <v>1.1599999999999999</v>
      </c>
      <c r="L413" s="24">
        <v>2.41</v>
      </c>
      <c r="M413" s="34"/>
      <c r="N413" s="34"/>
      <c r="O413" s="22" t="str">
        <f>IF(ISNA(VLOOKUP(Table_master_data[[#This Row],[Pick]],Table2[#All],2,FALSE)),"-",VLOOKUP(Table_master_data[[#This Row],[Pick]],Table2[#All],2,FALSE))</f>
        <v>-</v>
      </c>
      <c r="P413" s="22"/>
    </row>
    <row r="414" spans="2:16" x14ac:dyDescent="0.25">
      <c r="B414" s="21">
        <v>268</v>
      </c>
      <c r="C414" s="21" t="s">
        <v>590</v>
      </c>
      <c r="D414" s="21" t="s">
        <v>179</v>
      </c>
      <c r="E414" s="21" t="s">
        <v>188</v>
      </c>
      <c r="F414" s="25">
        <v>19</v>
      </c>
      <c r="G414" s="26">
        <v>5</v>
      </c>
      <c r="H414" s="21" t="s">
        <v>251</v>
      </c>
      <c r="I414" s="23">
        <v>0</v>
      </c>
      <c r="J414" s="24">
        <v>11.7</v>
      </c>
      <c r="K414" s="32">
        <v>0.59000000000000008</v>
      </c>
      <c r="L414" s="24">
        <v>2.34</v>
      </c>
      <c r="M414" s="34"/>
      <c r="N414" s="34"/>
      <c r="O414" s="22" t="str">
        <f>IF(ISNA(VLOOKUP(Table_master_data[[#This Row],[Pick]],Table2[#All],2,FALSE)),"-",VLOOKUP(Table_master_data[[#This Row],[Pick]],Table2[#All],2,FALSE))</f>
        <v>-</v>
      </c>
      <c r="P414" s="22"/>
    </row>
    <row r="415" spans="2:16" x14ac:dyDescent="0.25">
      <c r="B415" s="21">
        <v>527</v>
      </c>
      <c r="C415" s="21" t="s">
        <v>37</v>
      </c>
      <c r="D415" s="21" t="s">
        <v>178</v>
      </c>
      <c r="E415" s="21" t="s">
        <v>374</v>
      </c>
      <c r="F415" s="25">
        <v>32</v>
      </c>
      <c r="G415" s="26">
        <v>5.5</v>
      </c>
      <c r="H415" s="21" t="s">
        <v>243</v>
      </c>
      <c r="I415" s="23">
        <v>1</v>
      </c>
      <c r="J415" s="24">
        <v>11.61</v>
      </c>
      <c r="K415" s="32">
        <v>1.3800000000000001</v>
      </c>
      <c r="L415" s="24">
        <v>2.11</v>
      </c>
      <c r="M415" s="34"/>
      <c r="N415" s="34"/>
      <c r="O415" s="22" t="str">
        <f>IF(ISNA(VLOOKUP(Table_master_data[[#This Row],[Pick]],Table2[#All],2,FALSE)),"-",VLOOKUP(Table_master_data[[#This Row],[Pick]],Table2[#All],2,FALSE))</f>
        <v>-</v>
      </c>
      <c r="P415" s="22"/>
    </row>
    <row r="416" spans="2:16" x14ac:dyDescent="0.25">
      <c r="B416" s="21">
        <v>336</v>
      </c>
      <c r="C416" s="21" t="s">
        <v>134</v>
      </c>
      <c r="D416" s="21" t="s">
        <v>179</v>
      </c>
      <c r="E416" s="21" t="s">
        <v>189</v>
      </c>
      <c r="F416" s="25">
        <v>10</v>
      </c>
      <c r="G416" s="26">
        <v>4.5</v>
      </c>
      <c r="H416" s="21" t="s">
        <v>243</v>
      </c>
      <c r="I416" s="23">
        <v>1</v>
      </c>
      <c r="J416" s="24">
        <v>11.55</v>
      </c>
      <c r="K416" s="32">
        <v>1.02</v>
      </c>
      <c r="L416" s="24">
        <v>2.57</v>
      </c>
      <c r="M416" s="34"/>
      <c r="N416" s="34"/>
      <c r="O416" s="22" t="str">
        <f>IF(ISNA(VLOOKUP(Table_master_data[[#This Row],[Pick]],Table2[#All],2,FALSE)),"-",VLOOKUP(Table_master_data[[#This Row],[Pick]],Table2[#All],2,FALSE))</f>
        <v>-</v>
      </c>
      <c r="P416" s="22"/>
    </row>
    <row r="417" spans="2:16" x14ac:dyDescent="0.25">
      <c r="B417" s="21">
        <v>210</v>
      </c>
      <c r="C417" s="21" t="s">
        <v>526</v>
      </c>
      <c r="D417" s="21" t="s">
        <v>179</v>
      </c>
      <c r="E417" s="21" t="s">
        <v>508</v>
      </c>
      <c r="F417" s="25">
        <v>0</v>
      </c>
      <c r="G417" s="26">
        <v>5</v>
      </c>
      <c r="H417" s="21" t="s">
        <v>243</v>
      </c>
      <c r="I417" s="23">
        <v>1</v>
      </c>
      <c r="J417" s="24">
        <v>11.37</v>
      </c>
      <c r="K417" s="32">
        <v>1.74</v>
      </c>
      <c r="L417" s="24">
        <v>2.27</v>
      </c>
      <c r="M417" s="34"/>
      <c r="N417" s="34"/>
      <c r="O417" s="22" t="str">
        <f>IF(ISNA(VLOOKUP(Table_master_data[[#This Row],[Pick]],Table2[#All],2,FALSE)),"-",VLOOKUP(Table_master_data[[#This Row],[Pick]],Table2[#All],2,FALSE))</f>
        <v>-</v>
      </c>
      <c r="P417" s="22"/>
    </row>
    <row r="418" spans="2:16" x14ac:dyDescent="0.25">
      <c r="B418" s="21">
        <v>514</v>
      </c>
      <c r="C418" s="21" t="s">
        <v>59</v>
      </c>
      <c r="D418" s="21" t="s">
        <v>181</v>
      </c>
      <c r="E418" s="21" t="s">
        <v>374</v>
      </c>
      <c r="F418" s="25">
        <v>6</v>
      </c>
      <c r="G418" s="26">
        <v>4</v>
      </c>
      <c r="H418" s="21" t="s">
        <v>243</v>
      </c>
      <c r="I418" s="23">
        <v>1</v>
      </c>
      <c r="J418" s="24">
        <v>11.36</v>
      </c>
      <c r="K418" s="32">
        <v>1.52</v>
      </c>
      <c r="L418" s="24">
        <v>2.84</v>
      </c>
      <c r="M418" s="34"/>
      <c r="N418" s="34"/>
      <c r="O418" s="22" t="str">
        <f>IF(ISNA(VLOOKUP(Table_master_data[[#This Row],[Pick]],Table2[#All],2,FALSE)),"-",VLOOKUP(Table_master_data[[#This Row],[Pick]],Table2[#All],2,FALSE))</f>
        <v>-</v>
      </c>
      <c r="P418" s="22"/>
    </row>
    <row r="419" spans="2:16" x14ac:dyDescent="0.25">
      <c r="B419" s="21">
        <v>640</v>
      </c>
      <c r="C419" s="21" t="s">
        <v>485</v>
      </c>
      <c r="D419" s="21" t="s">
        <v>181</v>
      </c>
      <c r="E419" s="21" t="s">
        <v>182</v>
      </c>
      <c r="F419" s="25">
        <v>2</v>
      </c>
      <c r="G419" s="26">
        <v>4</v>
      </c>
      <c r="H419" s="21" t="s">
        <v>243</v>
      </c>
      <c r="I419" s="23">
        <v>1</v>
      </c>
      <c r="J419" s="24">
        <v>11.25</v>
      </c>
      <c r="K419" s="32">
        <v>1.0900000000000001</v>
      </c>
      <c r="L419" s="24">
        <v>2.81</v>
      </c>
      <c r="M419" s="34"/>
      <c r="N419" s="34"/>
      <c r="O419" s="22" t="str">
        <f>IF(ISNA(VLOOKUP(Table_master_data[[#This Row],[Pick]],Table2[#All],2,FALSE)),"-",VLOOKUP(Table_master_data[[#This Row],[Pick]],Table2[#All],2,FALSE))</f>
        <v>-</v>
      </c>
      <c r="P419" s="22"/>
    </row>
    <row r="420" spans="2:16" x14ac:dyDescent="0.25">
      <c r="B420" s="21">
        <v>165</v>
      </c>
      <c r="C420" s="21" t="s">
        <v>644</v>
      </c>
      <c r="D420" s="21" t="s">
        <v>179</v>
      </c>
      <c r="E420" s="21" t="s">
        <v>373</v>
      </c>
      <c r="F420" s="25">
        <v>0</v>
      </c>
      <c r="G420" s="26">
        <v>5.5</v>
      </c>
      <c r="H420" s="21" t="s">
        <v>243</v>
      </c>
      <c r="I420" s="23">
        <v>1</v>
      </c>
      <c r="J420" s="24">
        <v>10.83</v>
      </c>
      <c r="K420" s="32">
        <v>1.21</v>
      </c>
      <c r="L420" s="24">
        <v>1.97</v>
      </c>
      <c r="M420" s="34"/>
      <c r="N420" s="34"/>
      <c r="O420" s="22" t="str">
        <f>IF(ISNA(VLOOKUP(Table_master_data[[#This Row],[Pick]],Table2[#All],2,FALSE)),"-",VLOOKUP(Table_master_data[[#This Row],[Pick]],Table2[#All],2,FALSE))</f>
        <v>-</v>
      </c>
      <c r="P420" s="22"/>
    </row>
    <row r="421" spans="2:16" x14ac:dyDescent="0.25">
      <c r="B421" s="21">
        <v>312</v>
      </c>
      <c r="C421" s="21" t="s">
        <v>578</v>
      </c>
      <c r="D421" s="21" t="s">
        <v>178</v>
      </c>
      <c r="E421" s="21" t="s">
        <v>185</v>
      </c>
      <c r="F421" s="25">
        <v>3</v>
      </c>
      <c r="G421" s="26">
        <v>5</v>
      </c>
      <c r="H421" s="21" t="s">
        <v>243</v>
      </c>
      <c r="I421" s="23">
        <v>1</v>
      </c>
      <c r="J421" s="24">
        <v>10.76</v>
      </c>
      <c r="K421" s="32">
        <v>1.24</v>
      </c>
      <c r="L421" s="24">
        <v>2.15</v>
      </c>
      <c r="M421" s="34"/>
      <c r="N421" s="34"/>
      <c r="O421" s="22" t="str">
        <f>IF(ISNA(VLOOKUP(Table_master_data[[#This Row],[Pick]],Table2[#All],2,FALSE)),"-",VLOOKUP(Table_master_data[[#This Row],[Pick]],Table2[#All],2,FALSE))</f>
        <v>-</v>
      </c>
      <c r="P421" s="22"/>
    </row>
    <row r="422" spans="2:16" x14ac:dyDescent="0.25">
      <c r="B422" s="21">
        <v>376</v>
      </c>
      <c r="C422" s="21" t="s">
        <v>148</v>
      </c>
      <c r="D422" s="21" t="s">
        <v>181</v>
      </c>
      <c r="E422" s="21" t="s">
        <v>180</v>
      </c>
      <c r="F422" s="25">
        <v>14</v>
      </c>
      <c r="G422" s="26">
        <v>5</v>
      </c>
      <c r="H422" s="21" t="s">
        <v>250</v>
      </c>
      <c r="I422" s="23">
        <v>0.75</v>
      </c>
      <c r="J422" s="24">
        <v>10.74</v>
      </c>
      <c r="K422" s="32">
        <v>0.94</v>
      </c>
      <c r="L422" s="24">
        <v>2.15</v>
      </c>
      <c r="M422" s="34"/>
      <c r="N422" s="34"/>
      <c r="O422" s="22" t="str">
        <f>IF(ISNA(VLOOKUP(Table_master_data[[#This Row],[Pick]],Table2[#All],2,FALSE)),"-",VLOOKUP(Table_master_data[[#This Row],[Pick]],Table2[#All],2,FALSE))</f>
        <v>-</v>
      </c>
      <c r="P422" s="22"/>
    </row>
    <row r="423" spans="2:16" x14ac:dyDescent="0.25">
      <c r="B423" s="21">
        <v>263</v>
      </c>
      <c r="C423" s="21" t="s">
        <v>111</v>
      </c>
      <c r="D423" s="21" t="s">
        <v>181</v>
      </c>
      <c r="E423" s="21" t="s">
        <v>188</v>
      </c>
      <c r="F423" s="25">
        <v>18</v>
      </c>
      <c r="G423" s="26">
        <v>4</v>
      </c>
      <c r="H423" s="21" t="s">
        <v>243</v>
      </c>
      <c r="I423" s="23">
        <v>1</v>
      </c>
      <c r="J423" s="24">
        <v>10.44</v>
      </c>
      <c r="K423" s="32">
        <v>1</v>
      </c>
      <c r="L423" s="24">
        <v>2.61</v>
      </c>
      <c r="M423" s="34"/>
      <c r="N423" s="34"/>
      <c r="O423" s="22" t="str">
        <f>IF(ISNA(VLOOKUP(Table_master_data[[#This Row],[Pick]],Table2[#All],2,FALSE)),"-",VLOOKUP(Table_master_data[[#This Row],[Pick]],Table2[#All],2,FALSE))</f>
        <v>-</v>
      </c>
      <c r="P423" s="22"/>
    </row>
    <row r="424" spans="2:16" x14ac:dyDescent="0.25">
      <c r="B424" s="21">
        <v>674</v>
      </c>
      <c r="C424" s="21" t="s">
        <v>14</v>
      </c>
      <c r="D424" s="21" t="s">
        <v>258</v>
      </c>
      <c r="E424" s="21" t="s">
        <v>186</v>
      </c>
      <c r="F424" s="25">
        <v>0</v>
      </c>
      <c r="G424" s="26">
        <v>5</v>
      </c>
      <c r="H424" s="21" t="s">
        <v>243</v>
      </c>
      <c r="I424" s="23">
        <v>1</v>
      </c>
      <c r="J424" s="24">
        <v>10.15</v>
      </c>
      <c r="K424" s="32">
        <v>0.58000000000000007</v>
      </c>
      <c r="L424" s="24">
        <v>2.0299999999999998</v>
      </c>
      <c r="M424" s="34"/>
      <c r="N424" s="34"/>
      <c r="O424" s="22" t="str">
        <f>IF(ISNA(VLOOKUP(Table_master_data[[#This Row],[Pick]],Table2[#All],2,FALSE)),"-",VLOOKUP(Table_master_data[[#This Row],[Pick]],Table2[#All],2,FALSE))</f>
        <v>-</v>
      </c>
      <c r="P424" s="22"/>
    </row>
    <row r="425" spans="2:16" x14ac:dyDescent="0.25">
      <c r="B425" s="21">
        <v>171</v>
      </c>
      <c r="C425" s="21" t="s">
        <v>166</v>
      </c>
      <c r="D425" s="21" t="s">
        <v>179</v>
      </c>
      <c r="E425" s="21" t="s">
        <v>373</v>
      </c>
      <c r="F425" s="25">
        <v>1</v>
      </c>
      <c r="G425" s="26">
        <v>5</v>
      </c>
      <c r="H425" s="21" t="s">
        <v>243</v>
      </c>
      <c r="I425" s="23">
        <v>1</v>
      </c>
      <c r="J425" s="24">
        <v>10.11</v>
      </c>
      <c r="K425" s="32">
        <v>1.01</v>
      </c>
      <c r="L425" s="24">
        <v>2.02</v>
      </c>
      <c r="M425" s="34"/>
      <c r="N425" s="34"/>
      <c r="O425" s="22" t="str">
        <f>IF(ISNA(VLOOKUP(Table_master_data[[#This Row],[Pick]],Table2[#All],2,FALSE)),"-",VLOOKUP(Table_master_data[[#This Row],[Pick]],Table2[#All],2,FALSE))</f>
        <v>-</v>
      </c>
      <c r="P425" s="22"/>
    </row>
    <row r="426" spans="2:16" x14ac:dyDescent="0.25">
      <c r="B426" s="21">
        <v>363</v>
      </c>
      <c r="C426" s="21" t="s">
        <v>671</v>
      </c>
      <c r="D426" s="21" t="s">
        <v>178</v>
      </c>
      <c r="E426" s="21" t="s">
        <v>815</v>
      </c>
      <c r="F426" s="25">
        <v>0</v>
      </c>
      <c r="G426" s="26">
        <v>5</v>
      </c>
      <c r="H426" s="21" t="s">
        <v>243</v>
      </c>
      <c r="I426" s="23">
        <v>1</v>
      </c>
      <c r="J426" s="24">
        <v>9.77</v>
      </c>
      <c r="K426" s="32">
        <v>1.2</v>
      </c>
      <c r="L426" s="24">
        <v>1.95</v>
      </c>
      <c r="M426" s="34"/>
      <c r="N426" s="34"/>
      <c r="O426" s="22" t="str">
        <f>IF(ISNA(VLOOKUP(Table_master_data[[#This Row],[Pick]],Table2[#All],2,FALSE)),"-",VLOOKUP(Table_master_data[[#This Row],[Pick]],Table2[#All],2,FALSE))</f>
        <v>-</v>
      </c>
      <c r="P426" s="22"/>
    </row>
    <row r="427" spans="2:16" x14ac:dyDescent="0.25">
      <c r="B427" s="21">
        <v>100</v>
      </c>
      <c r="C427" s="21" t="s">
        <v>651</v>
      </c>
      <c r="D427" s="21" t="s">
        <v>178</v>
      </c>
      <c r="E427" s="21" t="s">
        <v>190</v>
      </c>
      <c r="F427" s="25">
        <v>0</v>
      </c>
      <c r="G427" s="26">
        <v>4.5</v>
      </c>
      <c r="H427" s="21" t="s">
        <v>243</v>
      </c>
      <c r="I427" s="23">
        <v>1</v>
      </c>
      <c r="J427" s="24">
        <v>9.77</v>
      </c>
      <c r="K427" s="32">
        <v>0.99</v>
      </c>
      <c r="L427" s="24">
        <v>2.17</v>
      </c>
      <c r="M427" s="34"/>
      <c r="N427" s="34"/>
      <c r="O427" s="22" t="str">
        <f>IF(ISNA(VLOOKUP(Table_master_data[[#This Row],[Pick]],Table2[#All],2,FALSE)),"-",VLOOKUP(Table_master_data[[#This Row],[Pick]],Table2[#All],2,FALSE))</f>
        <v>-</v>
      </c>
      <c r="P427" s="22"/>
    </row>
    <row r="428" spans="2:16" x14ac:dyDescent="0.25">
      <c r="B428" s="21">
        <v>201</v>
      </c>
      <c r="C428" s="21" t="s">
        <v>517</v>
      </c>
      <c r="D428" s="21" t="s">
        <v>179</v>
      </c>
      <c r="E428" s="21" t="s">
        <v>508</v>
      </c>
      <c r="F428" s="25">
        <v>0</v>
      </c>
      <c r="G428" s="26">
        <v>5.5</v>
      </c>
      <c r="H428" s="21" t="s">
        <v>243</v>
      </c>
      <c r="I428" s="23">
        <v>1</v>
      </c>
      <c r="J428" s="24">
        <v>9.58</v>
      </c>
      <c r="K428" s="32">
        <v>1.1099999999999999</v>
      </c>
      <c r="L428" s="24">
        <v>1.74</v>
      </c>
      <c r="M428" s="34"/>
      <c r="N428" s="34"/>
      <c r="O428" s="22" t="str">
        <f>IF(ISNA(VLOOKUP(Table_master_data[[#This Row],[Pick]],Table2[#All],2,FALSE)),"-",VLOOKUP(Table_master_data[[#This Row],[Pick]],Table2[#All],2,FALSE))</f>
        <v>-</v>
      </c>
      <c r="P428" s="22"/>
    </row>
    <row r="429" spans="2:16" x14ac:dyDescent="0.25">
      <c r="B429" s="21">
        <v>33</v>
      </c>
      <c r="C429" s="21" t="s">
        <v>572</v>
      </c>
      <c r="D429" s="21" t="s">
        <v>258</v>
      </c>
      <c r="E429" s="21" t="s">
        <v>191</v>
      </c>
      <c r="F429" s="25">
        <v>0</v>
      </c>
      <c r="G429" s="26">
        <v>4.5</v>
      </c>
      <c r="H429" s="21" t="s">
        <v>243</v>
      </c>
      <c r="I429" s="23">
        <v>1</v>
      </c>
      <c r="J429" s="24">
        <v>9.5299999999999994</v>
      </c>
      <c r="K429" s="32">
        <v>3.95</v>
      </c>
      <c r="L429" s="24">
        <v>2.12</v>
      </c>
      <c r="M429" s="34"/>
      <c r="N429" s="34"/>
      <c r="O429" s="22" t="str">
        <f>IF(ISNA(VLOOKUP(Table_master_data[[#This Row],[Pick]],Table2[#All],2,FALSE)),"-",VLOOKUP(Table_master_data[[#This Row],[Pick]],Table2[#All],2,FALSE))</f>
        <v>-</v>
      </c>
      <c r="P429" s="22"/>
    </row>
    <row r="430" spans="2:16" x14ac:dyDescent="0.25">
      <c r="B430" s="21">
        <v>203</v>
      </c>
      <c r="C430" s="21" t="s">
        <v>536</v>
      </c>
      <c r="D430" s="21" t="s">
        <v>179</v>
      </c>
      <c r="E430" s="21" t="s">
        <v>508</v>
      </c>
      <c r="F430" s="25">
        <v>0</v>
      </c>
      <c r="G430" s="26">
        <v>5</v>
      </c>
      <c r="H430" s="21" t="s">
        <v>243</v>
      </c>
      <c r="I430" s="23">
        <v>1</v>
      </c>
      <c r="J430" s="24">
        <v>9.42</v>
      </c>
      <c r="K430" s="32">
        <v>1.0699999999999998</v>
      </c>
      <c r="L430" s="24">
        <v>1.88</v>
      </c>
      <c r="M430" s="34"/>
      <c r="N430" s="34"/>
      <c r="O430" s="22" t="str">
        <f>IF(ISNA(VLOOKUP(Table_master_data[[#This Row],[Pick]],Table2[#All],2,FALSE)),"-",VLOOKUP(Table_master_data[[#This Row],[Pick]],Table2[#All],2,FALSE))</f>
        <v>-</v>
      </c>
      <c r="P430" s="22"/>
    </row>
    <row r="431" spans="2:16" x14ac:dyDescent="0.25">
      <c r="B431" s="21">
        <v>458</v>
      </c>
      <c r="C431" s="21" t="s">
        <v>340</v>
      </c>
      <c r="D431" s="21" t="s">
        <v>179</v>
      </c>
      <c r="E431" s="21" t="s">
        <v>193</v>
      </c>
      <c r="F431" s="25">
        <v>42</v>
      </c>
      <c r="G431" s="26">
        <v>5</v>
      </c>
      <c r="H431" s="21" t="s">
        <v>243</v>
      </c>
      <c r="I431" s="23">
        <v>1</v>
      </c>
      <c r="J431" s="24">
        <v>9.39</v>
      </c>
      <c r="K431" s="32">
        <v>1.57</v>
      </c>
      <c r="L431" s="24">
        <v>1.88</v>
      </c>
      <c r="M431" s="34"/>
      <c r="N431" s="34"/>
      <c r="O431" s="22" t="str">
        <f>IF(ISNA(VLOOKUP(Table_master_data[[#This Row],[Pick]],Table2[#All],2,FALSE)),"-",VLOOKUP(Table_master_data[[#This Row],[Pick]],Table2[#All],2,FALSE))</f>
        <v>-</v>
      </c>
      <c r="P431" s="22"/>
    </row>
    <row r="432" spans="2:16" x14ac:dyDescent="0.25">
      <c r="B432" s="21">
        <v>533</v>
      </c>
      <c r="C432" s="21" t="s">
        <v>752</v>
      </c>
      <c r="D432" s="21" t="s">
        <v>181</v>
      </c>
      <c r="E432" s="21" t="s">
        <v>802</v>
      </c>
      <c r="F432" s="25">
        <v>0</v>
      </c>
      <c r="G432" s="26">
        <v>4</v>
      </c>
      <c r="H432" s="21" t="s">
        <v>251</v>
      </c>
      <c r="I432" s="23">
        <v>0</v>
      </c>
      <c r="J432" s="24">
        <v>8.99</v>
      </c>
      <c r="K432" s="32">
        <v>0.61</v>
      </c>
      <c r="L432" s="24">
        <v>2.25</v>
      </c>
      <c r="M432" s="34"/>
      <c r="N432" s="34"/>
      <c r="O432" s="22" t="str">
        <f>IF(ISNA(VLOOKUP(Table_master_data[[#This Row],[Pick]],Table2[#All],2,FALSE)),"-",VLOOKUP(Table_master_data[[#This Row],[Pick]],Table2[#All],2,FALSE))</f>
        <v>-</v>
      </c>
      <c r="P432" s="22"/>
    </row>
    <row r="433" spans="2:16" x14ac:dyDescent="0.25">
      <c r="B433" s="21">
        <v>536</v>
      </c>
      <c r="C433" s="21" t="s">
        <v>756</v>
      </c>
      <c r="D433" s="21" t="s">
        <v>181</v>
      </c>
      <c r="E433" s="21" t="s">
        <v>802</v>
      </c>
      <c r="F433" s="25">
        <v>0</v>
      </c>
      <c r="G433" s="26">
        <v>4</v>
      </c>
      <c r="H433" s="21" t="s">
        <v>251</v>
      </c>
      <c r="I433" s="23">
        <v>0</v>
      </c>
      <c r="J433" s="24">
        <v>8.99</v>
      </c>
      <c r="K433" s="32">
        <v>0.61</v>
      </c>
      <c r="L433" s="24">
        <v>2.25</v>
      </c>
      <c r="M433" s="34"/>
      <c r="N433" s="34"/>
      <c r="O433" s="22" t="str">
        <f>IF(ISNA(VLOOKUP(Table_master_data[[#This Row],[Pick]],Table2[#All],2,FALSE)),"-",VLOOKUP(Table_master_data[[#This Row],[Pick]],Table2[#All],2,FALSE))</f>
        <v>-</v>
      </c>
      <c r="P433" s="22"/>
    </row>
    <row r="434" spans="2:16" x14ac:dyDescent="0.25">
      <c r="B434" s="21">
        <v>562</v>
      </c>
      <c r="C434" s="21" t="s">
        <v>763</v>
      </c>
      <c r="D434" s="21" t="s">
        <v>178</v>
      </c>
      <c r="E434" s="21" t="s">
        <v>802</v>
      </c>
      <c r="F434" s="25">
        <v>0</v>
      </c>
      <c r="G434" s="26">
        <v>4.5</v>
      </c>
      <c r="H434" s="21" t="s">
        <v>243</v>
      </c>
      <c r="I434" s="23">
        <v>1</v>
      </c>
      <c r="J434" s="24">
        <v>8.9700000000000006</v>
      </c>
      <c r="K434" s="32">
        <v>1.23</v>
      </c>
      <c r="L434" s="24">
        <v>1.99</v>
      </c>
      <c r="M434" s="34"/>
      <c r="N434" s="34"/>
      <c r="O434" s="22" t="str">
        <f>IF(ISNA(VLOOKUP(Table_master_data[[#This Row],[Pick]],Table2[#All],2,FALSE)),"-",VLOOKUP(Table_master_data[[#This Row],[Pick]],Table2[#All],2,FALSE))</f>
        <v>-</v>
      </c>
      <c r="P434" s="22"/>
    </row>
    <row r="435" spans="2:16" x14ac:dyDescent="0.25">
      <c r="B435" s="21">
        <v>512</v>
      </c>
      <c r="C435" s="21" t="s">
        <v>363</v>
      </c>
      <c r="D435" s="21" t="s">
        <v>181</v>
      </c>
      <c r="E435" s="21" t="s">
        <v>374</v>
      </c>
      <c r="F435" s="25">
        <v>0</v>
      </c>
      <c r="G435" s="26">
        <v>4.5</v>
      </c>
      <c r="H435" s="21" t="s">
        <v>243</v>
      </c>
      <c r="I435" s="23">
        <v>1</v>
      </c>
      <c r="J435" s="24">
        <v>8.91</v>
      </c>
      <c r="K435" s="32">
        <v>1.36</v>
      </c>
      <c r="L435" s="24">
        <v>1.98</v>
      </c>
      <c r="M435" s="34"/>
      <c r="N435" s="34"/>
      <c r="O435" s="22" t="str">
        <f>IF(ISNA(VLOOKUP(Table_master_data[[#This Row],[Pick]],Table2[#All],2,FALSE)),"-",VLOOKUP(Table_master_data[[#This Row],[Pick]],Table2[#All],2,FALSE))</f>
        <v>-</v>
      </c>
      <c r="P435" s="22"/>
    </row>
    <row r="436" spans="2:16" x14ac:dyDescent="0.25">
      <c r="B436" s="21">
        <v>524</v>
      </c>
      <c r="C436" s="21" t="s">
        <v>739</v>
      </c>
      <c r="D436" s="21" t="s">
        <v>179</v>
      </c>
      <c r="E436" s="21" t="s">
        <v>374</v>
      </c>
      <c r="F436" s="25">
        <v>0</v>
      </c>
      <c r="G436" s="26">
        <v>4.5</v>
      </c>
      <c r="H436" s="21" t="s">
        <v>243</v>
      </c>
      <c r="I436" s="23">
        <v>1</v>
      </c>
      <c r="J436" s="24">
        <v>8.86</v>
      </c>
      <c r="K436" s="32">
        <v>1.33</v>
      </c>
      <c r="L436" s="24">
        <v>1.97</v>
      </c>
      <c r="M436" s="34"/>
      <c r="N436" s="34"/>
      <c r="O436" s="22" t="str">
        <f>IF(ISNA(VLOOKUP(Table_master_data[[#This Row],[Pick]],Table2[#All],2,FALSE)),"-",VLOOKUP(Table_master_data[[#This Row],[Pick]],Table2[#All],2,FALSE))</f>
        <v>-</v>
      </c>
      <c r="P436" s="22"/>
    </row>
    <row r="437" spans="2:16" x14ac:dyDescent="0.25">
      <c r="B437" s="21">
        <v>108</v>
      </c>
      <c r="C437" s="21" t="s">
        <v>138</v>
      </c>
      <c r="D437" s="21" t="s">
        <v>181</v>
      </c>
      <c r="E437" s="21" t="s">
        <v>183</v>
      </c>
      <c r="F437" s="25">
        <v>39</v>
      </c>
      <c r="G437" s="26">
        <v>4.5</v>
      </c>
      <c r="H437" s="21" t="s">
        <v>243</v>
      </c>
      <c r="I437" s="23">
        <v>1</v>
      </c>
      <c r="J437" s="24">
        <v>8.75</v>
      </c>
      <c r="K437" s="32">
        <v>0.81</v>
      </c>
      <c r="L437" s="24">
        <v>1.95</v>
      </c>
      <c r="M437" s="34"/>
      <c r="N437" s="34"/>
      <c r="O437" s="22" t="str">
        <f>IF(ISNA(VLOOKUP(Table_master_data[[#This Row],[Pick]],Table2[#All],2,FALSE)),"-",VLOOKUP(Table_master_data[[#This Row],[Pick]],Table2[#All],2,FALSE))</f>
        <v>-</v>
      </c>
      <c r="P437" s="22"/>
    </row>
    <row r="438" spans="2:16" x14ac:dyDescent="0.25">
      <c r="B438" s="21">
        <v>333</v>
      </c>
      <c r="C438" s="21" t="s">
        <v>661</v>
      </c>
      <c r="D438" s="21" t="s">
        <v>179</v>
      </c>
      <c r="E438" s="21" t="s">
        <v>189</v>
      </c>
      <c r="F438" s="25">
        <v>2</v>
      </c>
      <c r="G438" s="26">
        <v>4.5</v>
      </c>
      <c r="H438" s="21" t="s">
        <v>243</v>
      </c>
      <c r="I438" s="23">
        <v>1</v>
      </c>
      <c r="J438" s="24">
        <v>8.68</v>
      </c>
      <c r="K438" s="32">
        <v>0.71000000000000008</v>
      </c>
      <c r="L438" s="24">
        <v>1.93</v>
      </c>
      <c r="M438" s="34"/>
      <c r="N438" s="34"/>
      <c r="O438" s="22" t="str">
        <f>IF(ISNA(VLOOKUP(Table_master_data[[#This Row],[Pick]],Table2[#All],2,FALSE)),"-",VLOOKUP(Table_master_data[[#This Row],[Pick]],Table2[#All],2,FALSE))</f>
        <v>-</v>
      </c>
      <c r="P438" s="22"/>
    </row>
    <row r="439" spans="2:16" x14ac:dyDescent="0.25">
      <c r="B439" s="21">
        <v>346</v>
      </c>
      <c r="C439" s="21" t="s">
        <v>666</v>
      </c>
      <c r="D439" s="21" t="s">
        <v>181</v>
      </c>
      <c r="E439" s="21" t="s">
        <v>815</v>
      </c>
      <c r="F439" s="25">
        <v>0</v>
      </c>
      <c r="G439" s="26">
        <v>4</v>
      </c>
      <c r="H439" s="21" t="s">
        <v>243</v>
      </c>
      <c r="I439" s="23">
        <v>1</v>
      </c>
      <c r="J439" s="24">
        <v>8.4</v>
      </c>
      <c r="K439" s="32">
        <v>1.21</v>
      </c>
      <c r="L439" s="24">
        <v>2.1</v>
      </c>
      <c r="M439" s="34"/>
      <c r="N439" s="34"/>
      <c r="O439" s="22" t="str">
        <f>IF(ISNA(VLOOKUP(Table_master_data[[#This Row],[Pick]],Table2[#All],2,FALSE)),"-",VLOOKUP(Table_master_data[[#This Row],[Pick]],Table2[#All],2,FALSE))</f>
        <v>-</v>
      </c>
      <c r="P439" s="22"/>
    </row>
    <row r="440" spans="2:16" x14ac:dyDescent="0.25">
      <c r="B440" s="21">
        <v>214</v>
      </c>
      <c r="C440" s="21" t="s">
        <v>601</v>
      </c>
      <c r="D440" s="21" t="s">
        <v>179</v>
      </c>
      <c r="E440" s="21" t="s">
        <v>508</v>
      </c>
      <c r="F440" s="25">
        <v>0</v>
      </c>
      <c r="G440" s="26">
        <v>4.5</v>
      </c>
      <c r="H440" s="21" t="s">
        <v>243</v>
      </c>
      <c r="I440" s="23">
        <v>1</v>
      </c>
      <c r="J440" s="24">
        <v>7.94</v>
      </c>
      <c r="K440" s="32">
        <v>0.68</v>
      </c>
      <c r="L440" s="24">
        <v>1.77</v>
      </c>
      <c r="M440" s="34"/>
      <c r="N440" s="34"/>
      <c r="O440" s="22" t="str">
        <f>IF(ISNA(VLOOKUP(Table_master_data[[#This Row],[Pick]],Table2[#All],2,FALSE)),"-",VLOOKUP(Table_master_data[[#This Row],[Pick]],Table2[#All],2,FALSE))</f>
        <v>-</v>
      </c>
      <c r="P440" s="22"/>
    </row>
    <row r="441" spans="2:16" x14ac:dyDescent="0.25">
      <c r="B441" s="21">
        <v>460</v>
      </c>
      <c r="C441" s="21" t="s">
        <v>721</v>
      </c>
      <c r="D441" s="21" t="s">
        <v>179</v>
      </c>
      <c r="E441" s="21" t="s">
        <v>193</v>
      </c>
      <c r="F441" s="25">
        <v>6</v>
      </c>
      <c r="G441" s="26">
        <v>4.5</v>
      </c>
      <c r="H441" s="21" t="s">
        <v>243</v>
      </c>
      <c r="I441" s="23">
        <v>1</v>
      </c>
      <c r="J441" s="24">
        <v>7.88</v>
      </c>
      <c r="K441" s="32">
        <v>1</v>
      </c>
      <c r="L441" s="24">
        <v>1.75</v>
      </c>
      <c r="M441" s="34"/>
      <c r="N441" s="34"/>
      <c r="O441" s="22" t="str">
        <f>IF(ISNA(VLOOKUP(Table_master_data[[#This Row],[Pick]],Table2[#All],2,FALSE)),"-",VLOOKUP(Table_master_data[[#This Row],[Pick]],Table2[#All],2,FALSE))</f>
        <v>-</v>
      </c>
      <c r="P441" s="22"/>
    </row>
    <row r="442" spans="2:16" x14ac:dyDescent="0.25">
      <c r="B442" s="21">
        <v>128</v>
      </c>
      <c r="C442" s="21" t="s">
        <v>120</v>
      </c>
      <c r="D442" s="21" t="s">
        <v>179</v>
      </c>
      <c r="E442" s="21" t="s">
        <v>183</v>
      </c>
      <c r="F442" s="25">
        <v>2</v>
      </c>
      <c r="G442" s="26">
        <v>5</v>
      </c>
      <c r="H442" s="21" t="s">
        <v>243</v>
      </c>
      <c r="I442" s="23">
        <v>1</v>
      </c>
      <c r="J442" s="24">
        <v>7.8</v>
      </c>
      <c r="K442" s="32">
        <v>0.82000000000000006</v>
      </c>
      <c r="L442" s="24">
        <v>1.56</v>
      </c>
      <c r="M442" s="34"/>
      <c r="N442" s="34"/>
      <c r="O442" s="22" t="str">
        <f>IF(ISNA(VLOOKUP(Table_master_data[[#This Row],[Pick]],Table2[#All],2,FALSE)),"-",VLOOKUP(Table_master_data[[#This Row],[Pick]],Table2[#All],2,FALSE))</f>
        <v>-</v>
      </c>
      <c r="P442" s="22"/>
    </row>
    <row r="443" spans="2:16" x14ac:dyDescent="0.25">
      <c r="B443" s="21">
        <v>546</v>
      </c>
      <c r="C443" s="21" t="s">
        <v>770</v>
      </c>
      <c r="D443" s="21" t="s">
        <v>179</v>
      </c>
      <c r="E443" s="21" t="s">
        <v>802</v>
      </c>
      <c r="F443" s="25">
        <v>0</v>
      </c>
      <c r="G443" s="26">
        <v>5</v>
      </c>
      <c r="H443" s="21" t="s">
        <v>243</v>
      </c>
      <c r="I443" s="23">
        <v>1</v>
      </c>
      <c r="J443" s="24">
        <v>7.77</v>
      </c>
      <c r="K443" s="32">
        <v>1.05</v>
      </c>
      <c r="L443" s="24">
        <v>1.55</v>
      </c>
      <c r="M443" s="34"/>
      <c r="N443" s="34"/>
      <c r="O443" s="22" t="str">
        <f>IF(ISNA(VLOOKUP(Table_master_data[[#This Row],[Pick]],Table2[#All],2,FALSE)),"-",VLOOKUP(Table_master_data[[#This Row],[Pick]],Table2[#All],2,FALSE))</f>
        <v>-</v>
      </c>
      <c r="P443" s="22"/>
    </row>
    <row r="444" spans="2:16" x14ac:dyDescent="0.25">
      <c r="B444" s="21">
        <v>497</v>
      </c>
      <c r="C444" s="21" t="s">
        <v>731</v>
      </c>
      <c r="D444" s="21" t="s">
        <v>179</v>
      </c>
      <c r="E444" s="21" t="s">
        <v>186</v>
      </c>
      <c r="F444" s="25">
        <v>21</v>
      </c>
      <c r="G444" s="26">
        <v>4.5</v>
      </c>
      <c r="H444" s="21" t="s">
        <v>243</v>
      </c>
      <c r="I444" s="23">
        <v>1</v>
      </c>
      <c r="J444" s="24">
        <v>7.72</v>
      </c>
      <c r="K444" s="32">
        <v>0.55999999999999994</v>
      </c>
      <c r="L444" s="24">
        <v>1.72</v>
      </c>
      <c r="M444" s="34"/>
      <c r="N444" s="34"/>
      <c r="O444" s="22" t="str">
        <f>IF(ISNA(VLOOKUP(Table_master_data[[#This Row],[Pick]],Table2[#All],2,FALSE)),"-",VLOOKUP(Table_master_data[[#This Row],[Pick]],Table2[#All],2,FALSE))</f>
        <v>-</v>
      </c>
      <c r="P444" s="22"/>
    </row>
    <row r="445" spans="2:16" x14ac:dyDescent="0.25">
      <c r="B445" s="21">
        <v>65</v>
      </c>
      <c r="C445" s="21" t="s">
        <v>550</v>
      </c>
      <c r="D445" s="21" t="s">
        <v>178</v>
      </c>
      <c r="E445" s="21" t="s">
        <v>191</v>
      </c>
      <c r="F445" s="25">
        <v>0</v>
      </c>
      <c r="G445" s="26">
        <v>4.5</v>
      </c>
      <c r="H445" s="21" t="s">
        <v>243</v>
      </c>
      <c r="I445" s="23">
        <v>1</v>
      </c>
      <c r="J445" s="24">
        <v>7.56</v>
      </c>
      <c r="K445" s="32">
        <v>0.88000000000000012</v>
      </c>
      <c r="L445" s="24">
        <v>1.68</v>
      </c>
      <c r="M445" s="34"/>
      <c r="N445" s="34"/>
      <c r="O445" s="22" t="str">
        <f>IF(ISNA(VLOOKUP(Table_master_data[[#This Row],[Pick]],Table2[#All],2,FALSE)),"-",VLOOKUP(Table_master_data[[#This Row],[Pick]],Table2[#All],2,FALSE))</f>
        <v>-</v>
      </c>
      <c r="P445" s="22"/>
    </row>
    <row r="446" spans="2:16" x14ac:dyDescent="0.25">
      <c r="B446" s="21">
        <v>378</v>
      </c>
      <c r="C446" s="21" t="s">
        <v>691</v>
      </c>
      <c r="D446" s="21" t="s">
        <v>181</v>
      </c>
      <c r="E446" s="21" t="s">
        <v>180</v>
      </c>
      <c r="F446" s="25">
        <v>0</v>
      </c>
      <c r="G446" s="26">
        <v>4</v>
      </c>
      <c r="H446" s="21" t="s">
        <v>243</v>
      </c>
      <c r="I446" s="23">
        <v>1</v>
      </c>
      <c r="J446" s="24">
        <v>7.5</v>
      </c>
      <c r="K446" s="32">
        <v>0.68</v>
      </c>
      <c r="L446" s="24">
        <v>1.88</v>
      </c>
      <c r="M446" s="34"/>
      <c r="N446" s="34"/>
      <c r="O446" s="22" t="str">
        <f>IF(ISNA(VLOOKUP(Table_master_data[[#This Row],[Pick]],Table2[#All],2,FALSE)),"-",VLOOKUP(Table_master_data[[#This Row],[Pick]],Table2[#All],2,FALSE))</f>
        <v>-</v>
      </c>
      <c r="P446" s="22"/>
    </row>
    <row r="447" spans="2:16" x14ac:dyDescent="0.25">
      <c r="B447" s="21">
        <v>621</v>
      </c>
      <c r="C447" s="21" t="s">
        <v>478</v>
      </c>
      <c r="D447" s="21" t="s">
        <v>179</v>
      </c>
      <c r="E447" s="21" t="s">
        <v>372</v>
      </c>
      <c r="F447" s="25">
        <v>9</v>
      </c>
      <c r="G447" s="26">
        <v>4.5</v>
      </c>
      <c r="H447" s="21" t="s">
        <v>243</v>
      </c>
      <c r="I447" s="23">
        <v>1</v>
      </c>
      <c r="J447" s="24">
        <v>7.39</v>
      </c>
      <c r="K447" s="32">
        <v>1.32</v>
      </c>
      <c r="L447" s="24">
        <v>1.64</v>
      </c>
      <c r="M447" s="34"/>
      <c r="N447" s="34"/>
      <c r="O447" s="22" t="str">
        <f>IF(ISNA(VLOOKUP(Table_master_data[[#This Row],[Pick]],Table2[#All],2,FALSE)),"-",VLOOKUP(Table_master_data[[#This Row],[Pick]],Table2[#All],2,FALSE))</f>
        <v>-</v>
      </c>
      <c r="P447" s="22"/>
    </row>
    <row r="448" spans="2:16" x14ac:dyDescent="0.25">
      <c r="B448" s="21">
        <v>467</v>
      </c>
      <c r="C448" s="21" t="s">
        <v>719</v>
      </c>
      <c r="D448" s="21" t="s">
        <v>178</v>
      </c>
      <c r="E448" s="21" t="s">
        <v>193</v>
      </c>
      <c r="F448" s="25">
        <v>7</v>
      </c>
      <c r="G448" s="26">
        <v>4.5</v>
      </c>
      <c r="H448" s="21" t="s">
        <v>243</v>
      </c>
      <c r="I448" s="23">
        <v>1</v>
      </c>
      <c r="J448" s="24">
        <v>7.38</v>
      </c>
      <c r="K448" s="32">
        <v>1.23</v>
      </c>
      <c r="L448" s="24">
        <v>1.64</v>
      </c>
      <c r="M448" s="34"/>
      <c r="N448" s="34"/>
      <c r="O448" s="22" t="str">
        <f>IF(ISNA(VLOOKUP(Table_master_data[[#This Row],[Pick]],Table2[#All],2,FALSE)),"-",VLOOKUP(Table_master_data[[#This Row],[Pick]],Table2[#All],2,FALSE))</f>
        <v>-</v>
      </c>
      <c r="P448" s="22"/>
    </row>
    <row r="449" spans="2:16" x14ac:dyDescent="0.25">
      <c r="B449" s="21">
        <v>604</v>
      </c>
      <c r="C449" s="21" t="s">
        <v>327</v>
      </c>
      <c r="D449" s="21" t="s">
        <v>181</v>
      </c>
      <c r="E449" s="21" t="s">
        <v>372</v>
      </c>
      <c r="F449" s="25">
        <v>76</v>
      </c>
      <c r="G449" s="26">
        <v>4.5</v>
      </c>
      <c r="H449" s="21" t="s">
        <v>243</v>
      </c>
      <c r="I449" s="23">
        <v>1</v>
      </c>
      <c r="J449" s="24">
        <v>7.35</v>
      </c>
      <c r="K449" s="32">
        <v>0.56000000000000005</v>
      </c>
      <c r="L449" s="24">
        <v>1.63</v>
      </c>
      <c r="M449" s="34"/>
      <c r="N449" s="34"/>
      <c r="O449" s="22" t="str">
        <f>IF(ISNA(VLOOKUP(Table_master_data[[#This Row],[Pick]],Table2[#All],2,FALSE)),"-",VLOOKUP(Table_master_data[[#This Row],[Pick]],Table2[#All],2,FALSE))</f>
        <v>-</v>
      </c>
      <c r="P449" s="22"/>
    </row>
    <row r="450" spans="2:16" x14ac:dyDescent="0.25">
      <c r="B450" s="21">
        <v>170</v>
      </c>
      <c r="C450" s="21" t="s">
        <v>135</v>
      </c>
      <c r="D450" s="21" t="s">
        <v>179</v>
      </c>
      <c r="E450" s="21" t="s">
        <v>373</v>
      </c>
      <c r="F450" s="25">
        <v>6</v>
      </c>
      <c r="G450" s="26">
        <v>5</v>
      </c>
      <c r="H450" s="21" t="s">
        <v>243</v>
      </c>
      <c r="I450" s="23">
        <v>1</v>
      </c>
      <c r="J450" s="24">
        <v>7.35</v>
      </c>
      <c r="K450" s="32">
        <v>0.73000000000000009</v>
      </c>
      <c r="L450" s="24">
        <v>1.47</v>
      </c>
      <c r="M450" s="34"/>
      <c r="N450" s="34"/>
      <c r="O450" s="22" t="str">
        <f>IF(ISNA(VLOOKUP(Table_master_data[[#This Row],[Pick]],Table2[#All],2,FALSE)),"-",VLOOKUP(Table_master_data[[#This Row],[Pick]],Table2[#All],2,FALSE))</f>
        <v>-</v>
      </c>
      <c r="P450" s="22"/>
    </row>
    <row r="451" spans="2:16" x14ac:dyDescent="0.25">
      <c r="B451" s="21">
        <v>51</v>
      </c>
      <c r="C451" s="21" t="s">
        <v>394</v>
      </c>
      <c r="D451" s="21" t="s">
        <v>179</v>
      </c>
      <c r="E451" s="21" t="s">
        <v>191</v>
      </c>
      <c r="F451" s="25">
        <v>0</v>
      </c>
      <c r="G451" s="26">
        <v>5.5</v>
      </c>
      <c r="H451" s="21" t="s">
        <v>243</v>
      </c>
      <c r="I451" s="23">
        <v>1</v>
      </c>
      <c r="J451" s="24">
        <v>7.34</v>
      </c>
      <c r="K451" s="32">
        <v>0.70000000000000007</v>
      </c>
      <c r="L451" s="24">
        <v>1.33</v>
      </c>
      <c r="M451" s="34"/>
      <c r="N451" s="34"/>
      <c r="O451" s="22" t="str">
        <f>IF(ISNA(VLOOKUP(Table_master_data[[#This Row],[Pick]],Table2[#All],2,FALSE)),"-",VLOOKUP(Table_master_data[[#This Row],[Pick]],Table2[#All],2,FALSE))</f>
        <v>-</v>
      </c>
      <c r="P451" s="22"/>
    </row>
    <row r="452" spans="2:16" x14ac:dyDescent="0.25">
      <c r="B452" s="21">
        <v>274</v>
      </c>
      <c r="C452" s="21" t="s">
        <v>591</v>
      </c>
      <c r="D452" s="21" t="s">
        <v>179</v>
      </c>
      <c r="E452" s="21" t="s">
        <v>188</v>
      </c>
      <c r="F452" s="25">
        <v>2</v>
      </c>
      <c r="G452" s="26">
        <v>4.5</v>
      </c>
      <c r="H452" s="21" t="s">
        <v>243</v>
      </c>
      <c r="I452" s="23">
        <v>1</v>
      </c>
      <c r="J452" s="24">
        <v>7.33</v>
      </c>
      <c r="K452" s="32">
        <v>0.91999999999999993</v>
      </c>
      <c r="L452" s="24">
        <v>1.63</v>
      </c>
      <c r="M452" s="34"/>
      <c r="N452" s="34"/>
      <c r="O452" s="22" t="str">
        <f>IF(ISNA(VLOOKUP(Table_master_data[[#This Row],[Pick]],Table2[#All],2,FALSE)),"-",VLOOKUP(Table_master_data[[#This Row],[Pick]],Table2[#All],2,FALSE))</f>
        <v>-</v>
      </c>
      <c r="P452" s="22"/>
    </row>
    <row r="453" spans="2:16" x14ac:dyDescent="0.25">
      <c r="B453" s="21">
        <v>211</v>
      </c>
      <c r="C453" s="21" t="s">
        <v>514</v>
      </c>
      <c r="D453" s="21" t="s">
        <v>179</v>
      </c>
      <c r="E453" s="21" t="s">
        <v>508</v>
      </c>
      <c r="F453" s="25">
        <v>0</v>
      </c>
      <c r="G453" s="26">
        <v>4.5</v>
      </c>
      <c r="H453" s="21" t="s">
        <v>243</v>
      </c>
      <c r="I453" s="23">
        <v>1</v>
      </c>
      <c r="J453" s="24">
        <v>7.28</v>
      </c>
      <c r="K453" s="32">
        <v>0.62</v>
      </c>
      <c r="L453" s="24">
        <v>1.62</v>
      </c>
      <c r="M453" s="34"/>
      <c r="N453" s="34"/>
      <c r="O453" s="22" t="str">
        <f>IF(ISNA(VLOOKUP(Table_master_data[[#This Row],[Pick]],Table2[#All],2,FALSE)),"-",VLOOKUP(Table_master_data[[#This Row],[Pick]],Table2[#All],2,FALSE))</f>
        <v>-</v>
      </c>
      <c r="P453" s="22"/>
    </row>
    <row r="454" spans="2:16" x14ac:dyDescent="0.25">
      <c r="B454" s="21">
        <v>406</v>
      </c>
      <c r="C454" s="21" t="s">
        <v>702</v>
      </c>
      <c r="D454" s="21" t="s">
        <v>181</v>
      </c>
      <c r="E454" s="21" t="s">
        <v>184</v>
      </c>
      <c r="F454" s="25">
        <v>14</v>
      </c>
      <c r="G454" s="26">
        <v>5.5</v>
      </c>
      <c r="H454" s="21" t="s">
        <v>243</v>
      </c>
      <c r="I454" s="23">
        <v>1</v>
      </c>
      <c r="J454" s="24">
        <v>7.26</v>
      </c>
      <c r="K454" s="32">
        <v>0.79</v>
      </c>
      <c r="L454" s="24">
        <v>1.32</v>
      </c>
      <c r="M454" s="34"/>
      <c r="N454" s="34"/>
      <c r="O454" s="22" t="str">
        <f>IF(ISNA(VLOOKUP(Table_master_data[[#This Row],[Pick]],Table2[#All],2,FALSE)),"-",VLOOKUP(Table_master_data[[#This Row],[Pick]],Table2[#All],2,FALSE))</f>
        <v>-</v>
      </c>
      <c r="P454" s="22"/>
    </row>
    <row r="455" spans="2:16" x14ac:dyDescent="0.25">
      <c r="B455" s="21">
        <v>555</v>
      </c>
      <c r="C455" s="21" t="s">
        <v>772</v>
      </c>
      <c r="D455" s="21" t="s">
        <v>179</v>
      </c>
      <c r="E455" s="21" t="s">
        <v>802</v>
      </c>
      <c r="F455" s="25">
        <v>0</v>
      </c>
      <c r="G455" s="26">
        <v>4.5</v>
      </c>
      <c r="H455" s="21" t="s">
        <v>243</v>
      </c>
      <c r="I455" s="23">
        <v>1</v>
      </c>
      <c r="J455" s="24">
        <v>7.24</v>
      </c>
      <c r="K455" s="32">
        <v>0.96000000000000008</v>
      </c>
      <c r="L455" s="24">
        <v>1.61</v>
      </c>
      <c r="M455" s="34"/>
      <c r="N455" s="34"/>
      <c r="O455" s="22" t="str">
        <f>IF(ISNA(VLOOKUP(Table_master_data[[#This Row],[Pick]],Table2[#All],2,FALSE)),"-",VLOOKUP(Table_master_data[[#This Row],[Pick]],Table2[#All],2,FALSE))</f>
        <v>-</v>
      </c>
      <c r="P455" s="22"/>
    </row>
    <row r="456" spans="2:16" x14ac:dyDescent="0.25">
      <c r="B456" s="21">
        <v>80</v>
      </c>
      <c r="C456" s="21" t="s">
        <v>554</v>
      </c>
      <c r="D456" s="21" t="s">
        <v>181</v>
      </c>
      <c r="E456" s="21" t="s">
        <v>190</v>
      </c>
      <c r="F456" s="25">
        <v>3</v>
      </c>
      <c r="G456" s="26">
        <v>4</v>
      </c>
      <c r="H456" s="21" t="s">
        <v>243</v>
      </c>
      <c r="I456" s="23">
        <v>1</v>
      </c>
      <c r="J456" s="24">
        <v>7.21</v>
      </c>
      <c r="K456" s="32">
        <v>0.85000000000000009</v>
      </c>
      <c r="L456" s="24">
        <v>1.8</v>
      </c>
      <c r="M456" s="34"/>
      <c r="N456" s="34"/>
      <c r="O456" s="22" t="str">
        <f>IF(ISNA(VLOOKUP(Table_master_data[[#This Row],[Pick]],Table2[#All],2,FALSE)),"-",VLOOKUP(Table_master_data[[#This Row],[Pick]],Table2[#All],2,FALSE))</f>
        <v>-</v>
      </c>
      <c r="P456" s="22"/>
    </row>
    <row r="457" spans="2:16" x14ac:dyDescent="0.25">
      <c r="B457" s="21">
        <v>305</v>
      </c>
      <c r="C457" s="21" t="s">
        <v>469</v>
      </c>
      <c r="D457" s="21" t="s">
        <v>179</v>
      </c>
      <c r="E457" s="21" t="s">
        <v>185</v>
      </c>
      <c r="F457" s="25">
        <v>2</v>
      </c>
      <c r="G457" s="26">
        <v>4.5</v>
      </c>
      <c r="H457" s="21" t="s">
        <v>250</v>
      </c>
      <c r="I457" s="23">
        <v>0.75</v>
      </c>
      <c r="J457" s="24">
        <v>7.01</v>
      </c>
      <c r="K457" s="32">
        <v>0.54</v>
      </c>
      <c r="L457" s="24">
        <v>1.56</v>
      </c>
      <c r="M457" s="34"/>
      <c r="N457" s="34"/>
      <c r="O457" s="22" t="str">
        <f>IF(ISNA(VLOOKUP(Table_master_data[[#This Row],[Pick]],Table2[#All],2,FALSE)),"-",VLOOKUP(Table_master_data[[#This Row],[Pick]],Table2[#All],2,FALSE))</f>
        <v>-</v>
      </c>
      <c r="P457" s="22"/>
    </row>
    <row r="458" spans="2:16" x14ac:dyDescent="0.25">
      <c r="B458" s="21">
        <v>297</v>
      </c>
      <c r="C458" s="21" t="s">
        <v>614</v>
      </c>
      <c r="D458" s="21" t="s">
        <v>181</v>
      </c>
      <c r="E458" s="21" t="s">
        <v>185</v>
      </c>
      <c r="F458" s="25">
        <v>0</v>
      </c>
      <c r="G458" s="26">
        <v>4</v>
      </c>
      <c r="H458" s="21" t="s">
        <v>243</v>
      </c>
      <c r="I458" s="23">
        <v>1</v>
      </c>
      <c r="J458" s="24">
        <v>6.87</v>
      </c>
      <c r="K458" s="32">
        <v>0.78</v>
      </c>
      <c r="L458" s="24">
        <v>1.72</v>
      </c>
      <c r="M458" s="34"/>
      <c r="N458" s="34"/>
      <c r="O458" s="22" t="str">
        <f>IF(ISNA(VLOOKUP(Table_master_data[[#This Row],[Pick]],Table2[#All],2,FALSE)),"-",VLOOKUP(Table_master_data[[#This Row],[Pick]],Table2[#All],2,FALSE))</f>
        <v>-</v>
      </c>
      <c r="P458" s="22"/>
    </row>
    <row r="459" spans="2:16" x14ac:dyDescent="0.25">
      <c r="B459" s="21">
        <v>246</v>
      </c>
      <c r="C459" s="21" t="s">
        <v>416</v>
      </c>
      <c r="D459" s="21" t="s">
        <v>179</v>
      </c>
      <c r="E459" s="21" t="s">
        <v>187</v>
      </c>
      <c r="F459" s="25">
        <v>0</v>
      </c>
      <c r="G459" s="26">
        <v>4.5</v>
      </c>
      <c r="H459" s="21" t="s">
        <v>243</v>
      </c>
      <c r="I459" s="23">
        <v>1</v>
      </c>
      <c r="J459" s="24">
        <v>6.71</v>
      </c>
      <c r="K459" s="32">
        <v>0.61</v>
      </c>
      <c r="L459" s="24">
        <v>1.49</v>
      </c>
      <c r="M459" s="34"/>
      <c r="N459" s="34"/>
      <c r="O459" s="22" t="str">
        <f>IF(ISNA(VLOOKUP(Table_master_data[[#This Row],[Pick]],Table2[#All],2,FALSE)),"-",VLOOKUP(Table_master_data[[#This Row],[Pick]],Table2[#All],2,FALSE))</f>
        <v>-</v>
      </c>
      <c r="P459" s="22"/>
    </row>
    <row r="460" spans="2:16" x14ac:dyDescent="0.25">
      <c r="B460" s="21">
        <v>247</v>
      </c>
      <c r="C460" s="21" t="s">
        <v>512</v>
      </c>
      <c r="D460" s="21" t="s">
        <v>179</v>
      </c>
      <c r="E460" s="21" t="s">
        <v>187</v>
      </c>
      <c r="F460" s="25">
        <v>0</v>
      </c>
      <c r="G460" s="26">
        <v>4.5</v>
      </c>
      <c r="H460" s="21" t="s">
        <v>243</v>
      </c>
      <c r="I460" s="23">
        <v>1</v>
      </c>
      <c r="J460" s="24">
        <v>6.71</v>
      </c>
      <c r="K460" s="32">
        <v>0.61</v>
      </c>
      <c r="L460" s="24">
        <v>1.49</v>
      </c>
      <c r="M460" s="34"/>
      <c r="N460" s="34"/>
      <c r="O460" s="22" t="str">
        <f>IF(ISNA(VLOOKUP(Table_master_data[[#This Row],[Pick]],Table2[#All],2,FALSE)),"-",VLOOKUP(Table_master_data[[#This Row],[Pick]],Table2[#All],2,FALSE))</f>
        <v>-</v>
      </c>
      <c r="P460" s="22"/>
    </row>
    <row r="461" spans="2:16" x14ac:dyDescent="0.25">
      <c r="B461" s="21">
        <v>355</v>
      </c>
      <c r="C461" s="21" t="s">
        <v>684</v>
      </c>
      <c r="D461" s="21" t="s">
        <v>179</v>
      </c>
      <c r="E461" s="21" t="s">
        <v>815</v>
      </c>
      <c r="F461" s="25">
        <v>0</v>
      </c>
      <c r="G461" s="26">
        <v>5</v>
      </c>
      <c r="H461" s="21" t="s">
        <v>243</v>
      </c>
      <c r="I461" s="23">
        <v>1</v>
      </c>
      <c r="J461" s="24">
        <v>6.65</v>
      </c>
      <c r="K461" s="32">
        <v>0.56000000000000005</v>
      </c>
      <c r="L461" s="24">
        <v>1.33</v>
      </c>
      <c r="M461" s="34"/>
      <c r="N461" s="34"/>
      <c r="O461" s="22" t="str">
        <f>IF(ISNA(VLOOKUP(Table_master_data[[#This Row],[Pick]],Table2[#All],2,FALSE)),"-",VLOOKUP(Table_master_data[[#This Row],[Pick]],Table2[#All],2,FALSE))</f>
        <v>-</v>
      </c>
      <c r="P461" s="22"/>
    </row>
    <row r="462" spans="2:16" x14ac:dyDescent="0.25">
      <c r="B462" s="21">
        <v>622</v>
      </c>
      <c r="C462" s="21" t="s">
        <v>792</v>
      </c>
      <c r="D462" s="21" t="s">
        <v>179</v>
      </c>
      <c r="E462" s="21" t="s">
        <v>372</v>
      </c>
      <c r="F462" s="25">
        <v>2</v>
      </c>
      <c r="G462" s="26">
        <v>4.5</v>
      </c>
      <c r="H462" s="21" t="s">
        <v>243</v>
      </c>
      <c r="I462" s="23">
        <v>1</v>
      </c>
      <c r="J462" s="24">
        <v>6.59</v>
      </c>
      <c r="K462" s="32">
        <v>1.29</v>
      </c>
      <c r="L462" s="24">
        <v>1.47</v>
      </c>
      <c r="M462" s="34"/>
      <c r="N462" s="34"/>
      <c r="O462" s="22" t="str">
        <f>IF(ISNA(VLOOKUP(Table_master_data[[#This Row],[Pick]],Table2[#All],2,FALSE)),"-",VLOOKUP(Table_master_data[[#This Row],[Pick]],Table2[#All],2,FALSE))</f>
        <v>-</v>
      </c>
      <c r="P462" s="22"/>
    </row>
    <row r="463" spans="2:16" x14ac:dyDescent="0.25">
      <c r="B463" s="21">
        <v>219</v>
      </c>
      <c r="C463" s="21" t="s">
        <v>515</v>
      </c>
      <c r="D463" s="21" t="s">
        <v>178</v>
      </c>
      <c r="E463" s="21" t="s">
        <v>508</v>
      </c>
      <c r="F463" s="25">
        <v>0</v>
      </c>
      <c r="G463" s="26">
        <v>4.5</v>
      </c>
      <c r="H463" s="21" t="s">
        <v>243</v>
      </c>
      <c r="I463" s="23">
        <v>1</v>
      </c>
      <c r="J463" s="24">
        <v>6.58</v>
      </c>
      <c r="K463" s="32">
        <v>0.78</v>
      </c>
      <c r="L463" s="24">
        <v>1.46</v>
      </c>
      <c r="M463" s="34"/>
      <c r="N463" s="34"/>
      <c r="O463" s="22" t="str">
        <f>IF(ISNA(VLOOKUP(Table_master_data[[#This Row],[Pick]],Table2[#All],2,FALSE)),"-",VLOOKUP(Table_master_data[[#This Row],[Pick]],Table2[#All],2,FALSE))</f>
        <v>-</v>
      </c>
      <c r="P463" s="22"/>
    </row>
    <row r="464" spans="2:16" x14ac:dyDescent="0.25">
      <c r="B464" s="21">
        <v>626</v>
      </c>
      <c r="C464" s="21" t="s">
        <v>790</v>
      </c>
      <c r="D464" s="21" t="s">
        <v>178</v>
      </c>
      <c r="E464" s="21" t="s">
        <v>372</v>
      </c>
      <c r="F464" s="25">
        <v>0</v>
      </c>
      <c r="G464" s="26">
        <v>4.5</v>
      </c>
      <c r="H464" s="21" t="s">
        <v>243</v>
      </c>
      <c r="I464" s="23">
        <v>1</v>
      </c>
      <c r="J464" s="24">
        <v>6.51</v>
      </c>
      <c r="K464" s="32">
        <v>0.65</v>
      </c>
      <c r="L464" s="24">
        <v>1.45</v>
      </c>
      <c r="M464" s="34"/>
      <c r="N464" s="34"/>
      <c r="O464" s="22" t="str">
        <f>IF(ISNA(VLOOKUP(Table_master_data[[#This Row],[Pick]],Table2[#All],2,FALSE)),"-",VLOOKUP(Table_master_data[[#This Row],[Pick]],Table2[#All],2,FALSE))</f>
        <v>-</v>
      </c>
      <c r="P464" s="22"/>
    </row>
    <row r="465" spans="2:16" x14ac:dyDescent="0.25">
      <c r="B465" s="21">
        <v>34</v>
      </c>
      <c r="C465" s="21" t="s">
        <v>389</v>
      </c>
      <c r="D465" s="21" t="s">
        <v>258</v>
      </c>
      <c r="E465" s="21" t="s">
        <v>191</v>
      </c>
      <c r="F465" s="25">
        <v>0</v>
      </c>
      <c r="G465" s="26">
        <v>4</v>
      </c>
      <c r="H465" s="21" t="s">
        <v>245</v>
      </c>
      <c r="I465" s="23">
        <v>0</v>
      </c>
      <c r="J465" s="24">
        <v>6.46</v>
      </c>
      <c r="K465" s="32">
        <v>0.88000000000000012</v>
      </c>
      <c r="L465" s="24">
        <v>1.62</v>
      </c>
      <c r="M465" s="34"/>
      <c r="N465" s="34"/>
      <c r="O465" s="22" t="str">
        <f>IF(ISNA(VLOOKUP(Table_master_data[[#This Row],[Pick]],Table2[#All],2,FALSE)),"-",VLOOKUP(Table_master_data[[#This Row],[Pick]],Table2[#All],2,FALSE))</f>
        <v>-</v>
      </c>
      <c r="P465" s="22"/>
    </row>
    <row r="466" spans="2:16" x14ac:dyDescent="0.25">
      <c r="B466" s="21">
        <v>323</v>
      </c>
      <c r="C466" s="21" t="s">
        <v>527</v>
      </c>
      <c r="D466" s="21" t="s">
        <v>181</v>
      </c>
      <c r="E466" s="21" t="s">
        <v>189</v>
      </c>
      <c r="F466" s="25">
        <v>0</v>
      </c>
      <c r="G466" s="26">
        <v>4</v>
      </c>
      <c r="H466" s="21" t="s">
        <v>243</v>
      </c>
      <c r="I466" s="23">
        <v>1</v>
      </c>
      <c r="J466" s="24">
        <v>6.34</v>
      </c>
      <c r="K466" s="32">
        <v>0.63</v>
      </c>
      <c r="L466" s="24">
        <v>1.59</v>
      </c>
      <c r="M466" s="34"/>
      <c r="N466" s="34"/>
      <c r="O466" s="22" t="str">
        <f>IF(ISNA(VLOOKUP(Table_master_data[[#This Row],[Pick]],Table2[#All],2,FALSE)),"-",VLOOKUP(Table_master_data[[#This Row],[Pick]],Table2[#All],2,FALSE))</f>
        <v>-</v>
      </c>
      <c r="P466" s="22"/>
    </row>
    <row r="467" spans="2:16" x14ac:dyDescent="0.25">
      <c r="B467" s="21">
        <v>149</v>
      </c>
      <c r="C467" s="21" t="s">
        <v>382</v>
      </c>
      <c r="D467" s="21" t="s">
        <v>181</v>
      </c>
      <c r="E467" s="21" t="s">
        <v>373</v>
      </c>
      <c r="F467" s="25">
        <v>18</v>
      </c>
      <c r="G467" s="26">
        <v>4.5</v>
      </c>
      <c r="H467" s="21" t="s">
        <v>250</v>
      </c>
      <c r="I467" s="23">
        <v>0.5</v>
      </c>
      <c r="J467" s="24">
        <v>6.34</v>
      </c>
      <c r="K467" s="32">
        <v>0.82000000000000006</v>
      </c>
      <c r="L467" s="24">
        <v>1.41</v>
      </c>
      <c r="M467" s="34"/>
      <c r="N467" s="34"/>
      <c r="O467" s="22" t="str">
        <f>IF(ISNA(VLOOKUP(Table_master_data[[#This Row],[Pick]],Table2[#All],2,FALSE)),"-",VLOOKUP(Table_master_data[[#This Row],[Pick]],Table2[#All],2,FALSE))</f>
        <v>-</v>
      </c>
      <c r="P467" s="22"/>
    </row>
    <row r="468" spans="2:16" x14ac:dyDescent="0.25">
      <c r="B468" s="21">
        <v>599</v>
      </c>
      <c r="C468" s="21" t="s">
        <v>474</v>
      </c>
      <c r="D468" s="21" t="s">
        <v>178</v>
      </c>
      <c r="E468" s="21" t="s">
        <v>192</v>
      </c>
      <c r="F468" s="25">
        <v>6</v>
      </c>
      <c r="G468" s="26">
        <v>4.5</v>
      </c>
      <c r="H468" s="21" t="s">
        <v>243</v>
      </c>
      <c r="I468" s="23">
        <v>1</v>
      </c>
      <c r="J468" s="24">
        <v>6.28</v>
      </c>
      <c r="K468" s="32">
        <v>0.8</v>
      </c>
      <c r="L468" s="24">
        <v>1.4</v>
      </c>
      <c r="M468" s="34"/>
      <c r="N468" s="34"/>
      <c r="O468" s="22" t="str">
        <f>IF(ISNA(VLOOKUP(Table_master_data[[#This Row],[Pick]],Table2[#All],2,FALSE)),"-",VLOOKUP(Table_master_data[[#This Row],[Pick]],Table2[#All],2,FALSE))</f>
        <v>-</v>
      </c>
      <c r="P468" s="22"/>
    </row>
    <row r="469" spans="2:16" x14ac:dyDescent="0.25">
      <c r="B469" s="21">
        <v>96</v>
      </c>
      <c r="C469" s="21" t="s">
        <v>573</v>
      </c>
      <c r="D469" s="21" t="s">
        <v>179</v>
      </c>
      <c r="E469" s="21" t="s">
        <v>190</v>
      </c>
      <c r="F469" s="25">
        <v>4</v>
      </c>
      <c r="G469" s="26">
        <v>4.5</v>
      </c>
      <c r="H469" s="21" t="s">
        <v>243</v>
      </c>
      <c r="I469" s="23">
        <v>1</v>
      </c>
      <c r="J469" s="24">
        <v>6.28</v>
      </c>
      <c r="K469" s="32">
        <v>0.93</v>
      </c>
      <c r="L469" s="24">
        <v>1.4</v>
      </c>
      <c r="M469" s="34"/>
      <c r="N469" s="34"/>
      <c r="O469" s="22" t="str">
        <f>IF(ISNA(VLOOKUP(Table_master_data[[#This Row],[Pick]],Table2[#All],2,FALSE)),"-",VLOOKUP(Table_master_data[[#This Row],[Pick]],Table2[#All],2,FALSE))</f>
        <v>-</v>
      </c>
      <c r="P469" s="22"/>
    </row>
    <row r="470" spans="2:16" x14ac:dyDescent="0.25">
      <c r="B470" s="21">
        <v>294</v>
      </c>
      <c r="C470" s="21" t="s">
        <v>118</v>
      </c>
      <c r="D470" s="21" t="s">
        <v>181</v>
      </c>
      <c r="E470" s="21" t="s">
        <v>185</v>
      </c>
      <c r="F470" s="25">
        <v>5</v>
      </c>
      <c r="G470" s="26">
        <v>4.5</v>
      </c>
      <c r="H470" s="21" t="s">
        <v>243</v>
      </c>
      <c r="I470" s="23">
        <v>1</v>
      </c>
      <c r="J470" s="24">
        <v>6.23</v>
      </c>
      <c r="K470" s="32">
        <v>0.5</v>
      </c>
      <c r="L470" s="24">
        <v>1.39</v>
      </c>
      <c r="M470" s="34"/>
      <c r="N470" s="34"/>
      <c r="O470" s="22" t="str">
        <f>IF(ISNA(VLOOKUP(Table_master_data[[#This Row],[Pick]],Table2[#All],2,FALSE)),"-",VLOOKUP(Table_master_data[[#This Row],[Pick]],Table2[#All],2,FALSE))</f>
        <v>-</v>
      </c>
      <c r="P470" s="22"/>
    </row>
    <row r="471" spans="2:16" x14ac:dyDescent="0.25">
      <c r="B471" s="21">
        <v>559</v>
      </c>
      <c r="C471" s="21" t="s">
        <v>784</v>
      </c>
      <c r="D471" s="21" t="s">
        <v>179</v>
      </c>
      <c r="E471" s="21" t="s">
        <v>802</v>
      </c>
      <c r="F471" s="25">
        <v>0</v>
      </c>
      <c r="G471" s="26">
        <v>4.5</v>
      </c>
      <c r="H471" s="21" t="s">
        <v>243</v>
      </c>
      <c r="I471" s="23">
        <v>1</v>
      </c>
      <c r="J471" s="24">
        <v>6.16</v>
      </c>
      <c r="K471" s="32">
        <v>0.81</v>
      </c>
      <c r="L471" s="24">
        <v>1.37</v>
      </c>
      <c r="M471" s="34"/>
      <c r="N471" s="34"/>
      <c r="O471" s="22" t="str">
        <f>IF(ISNA(VLOOKUP(Table_master_data[[#This Row],[Pick]],Table2[#All],2,FALSE)),"-",VLOOKUP(Table_master_data[[#This Row],[Pick]],Table2[#All],2,FALSE))</f>
        <v>-</v>
      </c>
      <c r="P471" s="22"/>
    </row>
    <row r="472" spans="2:16" x14ac:dyDescent="0.25">
      <c r="B472" s="21">
        <v>132</v>
      </c>
      <c r="C472" s="21" t="s">
        <v>559</v>
      </c>
      <c r="D472" s="21" t="s">
        <v>179</v>
      </c>
      <c r="E472" s="21" t="s">
        <v>183</v>
      </c>
      <c r="F472" s="25">
        <v>8</v>
      </c>
      <c r="G472" s="26">
        <v>4.5</v>
      </c>
      <c r="H472" s="21" t="s">
        <v>243</v>
      </c>
      <c r="I472" s="23">
        <v>1</v>
      </c>
      <c r="J472" s="24">
        <v>6.08</v>
      </c>
      <c r="K472" s="32">
        <v>0.84000000000000008</v>
      </c>
      <c r="L472" s="24">
        <v>1.35</v>
      </c>
      <c r="M472" s="34"/>
      <c r="N472" s="34"/>
      <c r="O472" s="22" t="str">
        <f>IF(ISNA(VLOOKUP(Table_master_data[[#This Row],[Pick]],Table2[#All],2,FALSE)),"-",VLOOKUP(Table_master_data[[#This Row],[Pick]],Table2[#All],2,FALSE))</f>
        <v>-</v>
      </c>
      <c r="P472" s="22"/>
    </row>
    <row r="473" spans="2:16" x14ac:dyDescent="0.25">
      <c r="B473" s="21">
        <v>75</v>
      </c>
      <c r="C473" s="21" t="s">
        <v>576</v>
      </c>
      <c r="D473" s="21" t="s">
        <v>181</v>
      </c>
      <c r="E473" s="21" t="s">
        <v>190</v>
      </c>
      <c r="F473" s="25">
        <v>0</v>
      </c>
      <c r="G473" s="26">
        <v>4</v>
      </c>
      <c r="H473" s="21" t="s">
        <v>243</v>
      </c>
      <c r="I473" s="23">
        <v>1</v>
      </c>
      <c r="J473" s="24">
        <v>6.03</v>
      </c>
      <c r="K473" s="32">
        <v>0.51</v>
      </c>
      <c r="L473" s="24">
        <v>1.51</v>
      </c>
      <c r="M473" s="34"/>
      <c r="N473" s="34"/>
      <c r="O473" s="22" t="str">
        <f>IF(ISNA(VLOOKUP(Table_master_data[[#This Row],[Pick]],Table2[#All],2,FALSE)),"-",VLOOKUP(Table_master_data[[#This Row],[Pick]],Table2[#All],2,FALSE))</f>
        <v>-</v>
      </c>
      <c r="P473" s="22"/>
    </row>
    <row r="474" spans="2:16" x14ac:dyDescent="0.25">
      <c r="B474" s="21">
        <v>591</v>
      </c>
      <c r="C474" s="21" t="s">
        <v>34</v>
      </c>
      <c r="D474" s="21" t="s">
        <v>179</v>
      </c>
      <c r="E474" s="21" t="s">
        <v>192</v>
      </c>
      <c r="F474" s="25">
        <v>45</v>
      </c>
      <c r="G474" s="26">
        <v>5</v>
      </c>
      <c r="H474" s="21" t="s">
        <v>243</v>
      </c>
      <c r="I474" s="23">
        <v>1</v>
      </c>
      <c r="J474" s="24">
        <v>6.03</v>
      </c>
      <c r="K474" s="32">
        <v>0.7400000000000001</v>
      </c>
      <c r="L474" s="24">
        <v>1.21</v>
      </c>
      <c r="M474" s="34"/>
      <c r="N474" s="34"/>
      <c r="O474" s="22" t="str">
        <f>IF(ISNA(VLOOKUP(Table_master_data[[#This Row],[Pick]],Table2[#All],2,FALSE)),"-",VLOOKUP(Table_master_data[[#This Row],[Pick]],Table2[#All],2,FALSE))</f>
        <v>-</v>
      </c>
      <c r="P474" s="22"/>
    </row>
    <row r="475" spans="2:16" x14ac:dyDescent="0.25">
      <c r="B475" s="21">
        <v>2</v>
      </c>
      <c r="C475" s="21" t="s">
        <v>156</v>
      </c>
      <c r="D475" s="21" t="s">
        <v>258</v>
      </c>
      <c r="E475" s="21" t="s">
        <v>194</v>
      </c>
      <c r="F475" s="25">
        <v>106</v>
      </c>
      <c r="G475" s="26">
        <v>4.5</v>
      </c>
      <c r="H475" s="21" t="s">
        <v>243</v>
      </c>
      <c r="I475" s="23">
        <v>1</v>
      </c>
      <c r="J475" s="24">
        <v>6.02</v>
      </c>
      <c r="K475" s="32">
        <v>0.47</v>
      </c>
      <c r="L475" s="24">
        <v>1.34</v>
      </c>
      <c r="M475" s="34"/>
      <c r="N475" s="34"/>
      <c r="O475" s="22" t="str">
        <f>IF(ISNA(VLOOKUP(Table_master_data[[#This Row],[Pick]],Table2[#All],2,FALSE)),"-",VLOOKUP(Table_master_data[[#This Row],[Pick]],Table2[#All],2,FALSE))</f>
        <v>-</v>
      </c>
      <c r="P475" s="22"/>
    </row>
    <row r="476" spans="2:16" x14ac:dyDescent="0.25">
      <c r="B476" s="21">
        <v>465</v>
      </c>
      <c r="C476" s="21" t="s">
        <v>820</v>
      </c>
      <c r="D476" s="21" t="s">
        <v>178</v>
      </c>
      <c r="E476" s="21" t="s">
        <v>193</v>
      </c>
      <c r="F476" s="25">
        <v>78</v>
      </c>
      <c r="G476" s="26">
        <v>6.5</v>
      </c>
      <c r="H476" s="21" t="s">
        <v>243</v>
      </c>
      <c r="I476" s="23">
        <v>1</v>
      </c>
      <c r="J476" s="24">
        <v>5.94</v>
      </c>
      <c r="K476" s="32">
        <v>0.43</v>
      </c>
      <c r="L476" s="24">
        <v>0.91</v>
      </c>
      <c r="M476" s="34">
        <v>13</v>
      </c>
      <c r="N476" s="34"/>
      <c r="O476" s="22" t="str">
        <f>IF(ISNA(VLOOKUP(Table_master_data[[#This Row],[Pick]],Table2[#All],2,FALSE)),"-",VLOOKUP(Table_master_data[[#This Row],[Pick]],Table2[#All],2,FALSE))</f>
        <v>Rotiation FWD</v>
      </c>
      <c r="P476" s="22"/>
    </row>
    <row r="477" spans="2:16" x14ac:dyDescent="0.25">
      <c r="B477" s="21">
        <v>95</v>
      </c>
      <c r="C477" s="21" t="s">
        <v>533</v>
      </c>
      <c r="D477" s="21" t="s">
        <v>179</v>
      </c>
      <c r="E477" s="21" t="s">
        <v>190</v>
      </c>
      <c r="F477" s="25">
        <v>1</v>
      </c>
      <c r="G477" s="26">
        <v>4.5</v>
      </c>
      <c r="H477" s="21" t="s">
        <v>243</v>
      </c>
      <c r="I477" s="23">
        <v>1</v>
      </c>
      <c r="J477" s="24">
        <v>5.94</v>
      </c>
      <c r="K477" s="32">
        <v>0.64</v>
      </c>
      <c r="L477" s="24">
        <v>1.32</v>
      </c>
      <c r="M477" s="34"/>
      <c r="N477" s="34"/>
      <c r="O477" s="22" t="str">
        <f>IF(ISNA(VLOOKUP(Table_master_data[[#This Row],[Pick]],Table2[#All],2,FALSE)),"-",VLOOKUP(Table_master_data[[#This Row],[Pick]],Table2[#All],2,FALSE))</f>
        <v>-</v>
      </c>
      <c r="P477" s="22"/>
    </row>
    <row r="478" spans="2:16" x14ac:dyDescent="0.25">
      <c r="B478" s="21">
        <v>367</v>
      </c>
      <c r="C478" s="21" t="s">
        <v>695</v>
      </c>
      <c r="D478" s="21" t="s">
        <v>258</v>
      </c>
      <c r="E478" s="21" t="s">
        <v>180</v>
      </c>
      <c r="F478" s="25">
        <v>0</v>
      </c>
      <c r="G478" s="26">
        <v>4.5</v>
      </c>
      <c r="H478" s="21" t="s">
        <v>243</v>
      </c>
      <c r="I478" s="23">
        <v>1</v>
      </c>
      <c r="J478" s="24">
        <v>5.93</v>
      </c>
      <c r="K478" s="32">
        <v>0.5</v>
      </c>
      <c r="L478" s="24">
        <v>1.32</v>
      </c>
      <c r="M478" s="34"/>
      <c r="N478" s="34"/>
      <c r="O478" s="22" t="str">
        <f>IF(ISNA(VLOOKUP(Table_master_data[[#This Row],[Pick]],Table2[#All],2,FALSE)),"-",VLOOKUP(Table_master_data[[#This Row],[Pick]],Table2[#All],2,FALSE))</f>
        <v>-</v>
      </c>
      <c r="P478" s="22"/>
    </row>
    <row r="479" spans="2:16" x14ac:dyDescent="0.25">
      <c r="B479" s="21">
        <v>127</v>
      </c>
      <c r="C479" s="21" t="s">
        <v>635</v>
      </c>
      <c r="D479" s="21" t="s">
        <v>179</v>
      </c>
      <c r="E479" s="21" t="s">
        <v>183</v>
      </c>
      <c r="F479" s="25">
        <v>3</v>
      </c>
      <c r="G479" s="26">
        <v>5</v>
      </c>
      <c r="H479" s="21" t="s">
        <v>251</v>
      </c>
      <c r="I479" s="23">
        <v>0</v>
      </c>
      <c r="J479" s="24">
        <v>5.85</v>
      </c>
      <c r="K479" s="32">
        <v>0.72000000000000008</v>
      </c>
      <c r="L479" s="24">
        <v>1.17</v>
      </c>
      <c r="M479" s="34"/>
      <c r="N479" s="34"/>
      <c r="O479" s="22" t="str">
        <f>IF(ISNA(VLOOKUP(Table_master_data[[#This Row],[Pick]],Table2[#All],2,FALSE)),"-",VLOOKUP(Table_master_data[[#This Row],[Pick]],Table2[#All],2,FALSE))</f>
        <v>-</v>
      </c>
      <c r="P479" s="22"/>
    </row>
    <row r="480" spans="2:16" x14ac:dyDescent="0.25">
      <c r="B480" s="21">
        <v>199</v>
      </c>
      <c r="C480" s="21" t="s">
        <v>95</v>
      </c>
      <c r="D480" s="21" t="s">
        <v>181</v>
      </c>
      <c r="E480" s="21" t="s">
        <v>508</v>
      </c>
      <c r="F480" s="25">
        <v>0</v>
      </c>
      <c r="G480" s="26">
        <v>4</v>
      </c>
      <c r="H480" s="21" t="s">
        <v>243</v>
      </c>
      <c r="I480" s="23">
        <v>1</v>
      </c>
      <c r="J480" s="24">
        <v>5.82</v>
      </c>
      <c r="K480" s="32">
        <v>0.67</v>
      </c>
      <c r="L480" s="24">
        <v>1.46</v>
      </c>
      <c r="M480" s="34"/>
      <c r="N480" s="34"/>
      <c r="O480" s="22" t="str">
        <f>IF(ISNA(VLOOKUP(Table_master_data[[#This Row],[Pick]],Table2[#All],2,FALSE)),"-",VLOOKUP(Table_master_data[[#This Row],[Pick]],Table2[#All],2,FALSE))</f>
        <v>-</v>
      </c>
      <c r="P480" s="22"/>
    </row>
    <row r="481" spans="2:16" x14ac:dyDescent="0.25">
      <c r="B481" s="21">
        <v>651</v>
      </c>
      <c r="C481" s="21" t="s">
        <v>471</v>
      </c>
      <c r="D481" s="21" t="s">
        <v>179</v>
      </c>
      <c r="E481" s="21" t="s">
        <v>182</v>
      </c>
      <c r="F481" s="25">
        <v>0</v>
      </c>
      <c r="G481" s="26">
        <v>4.5</v>
      </c>
      <c r="H481" s="21" t="s">
        <v>243</v>
      </c>
      <c r="I481" s="23">
        <v>1</v>
      </c>
      <c r="J481" s="24">
        <v>5.65</v>
      </c>
      <c r="K481" s="32">
        <v>0.79</v>
      </c>
      <c r="L481" s="24">
        <v>1.25</v>
      </c>
      <c r="M481" s="34"/>
      <c r="N481" s="34"/>
      <c r="O481" s="22" t="str">
        <f>IF(ISNA(VLOOKUP(Table_master_data[[#This Row],[Pick]],Table2[#All],2,FALSE)),"-",VLOOKUP(Table_master_data[[#This Row],[Pick]],Table2[#All],2,FALSE))</f>
        <v>-</v>
      </c>
      <c r="P481" s="22"/>
    </row>
    <row r="482" spans="2:16" x14ac:dyDescent="0.25">
      <c r="B482" s="21">
        <v>308</v>
      </c>
      <c r="C482" s="21" t="s">
        <v>606</v>
      </c>
      <c r="D482" s="21" t="s">
        <v>179</v>
      </c>
      <c r="E482" s="21" t="s">
        <v>185</v>
      </c>
      <c r="F482" s="25">
        <v>0</v>
      </c>
      <c r="G482" s="26">
        <v>4.5</v>
      </c>
      <c r="H482" s="21" t="s">
        <v>243</v>
      </c>
      <c r="I482" s="23">
        <v>1</v>
      </c>
      <c r="J482" s="24">
        <v>5.62</v>
      </c>
      <c r="K482" s="32">
        <v>0.42</v>
      </c>
      <c r="L482" s="24">
        <v>1.25</v>
      </c>
      <c r="M482" s="34"/>
      <c r="N482" s="34"/>
      <c r="O482" s="22" t="str">
        <f>IF(ISNA(VLOOKUP(Table_master_data[[#This Row],[Pick]],Table2[#All],2,FALSE)),"-",VLOOKUP(Table_master_data[[#This Row],[Pick]],Table2[#All],2,FALSE))</f>
        <v>-</v>
      </c>
      <c r="P482" s="22"/>
    </row>
    <row r="483" spans="2:16" x14ac:dyDescent="0.25">
      <c r="B483" s="21">
        <v>479</v>
      </c>
      <c r="C483" s="21" t="s">
        <v>172</v>
      </c>
      <c r="D483" s="21" t="s">
        <v>181</v>
      </c>
      <c r="E483" s="21" t="s">
        <v>186</v>
      </c>
      <c r="F483" s="25">
        <v>17</v>
      </c>
      <c r="G483" s="26">
        <v>4.5</v>
      </c>
      <c r="H483" s="21" t="s">
        <v>243</v>
      </c>
      <c r="I483" s="23">
        <v>1</v>
      </c>
      <c r="J483" s="24">
        <v>5.52</v>
      </c>
      <c r="K483" s="32">
        <v>0.64</v>
      </c>
      <c r="L483" s="24">
        <v>1.23</v>
      </c>
      <c r="M483" s="34"/>
      <c r="N483" s="34"/>
      <c r="O483" s="22" t="str">
        <f>IF(ISNA(VLOOKUP(Table_master_data[[#This Row],[Pick]],Table2[#All],2,FALSE)),"-",VLOOKUP(Table_master_data[[#This Row],[Pick]],Table2[#All],2,FALSE))</f>
        <v>-</v>
      </c>
      <c r="P483" s="22"/>
    </row>
    <row r="484" spans="2:16" x14ac:dyDescent="0.25">
      <c r="B484" s="21">
        <v>218</v>
      </c>
      <c r="C484" s="21" t="s">
        <v>380</v>
      </c>
      <c r="D484" s="21" t="s">
        <v>178</v>
      </c>
      <c r="E484" s="21" t="s">
        <v>508</v>
      </c>
      <c r="F484" s="25">
        <v>0</v>
      </c>
      <c r="G484" s="26">
        <v>4.5</v>
      </c>
      <c r="H484" s="21" t="s">
        <v>243</v>
      </c>
      <c r="I484" s="23">
        <v>1</v>
      </c>
      <c r="J484" s="24">
        <v>5.44</v>
      </c>
      <c r="K484" s="32">
        <v>0.66</v>
      </c>
      <c r="L484" s="24">
        <v>1.21</v>
      </c>
      <c r="M484" s="34"/>
      <c r="N484" s="34"/>
      <c r="O484" s="22" t="str">
        <f>IF(ISNA(VLOOKUP(Table_master_data[[#This Row],[Pick]],Table2[#All],2,FALSE)),"-",VLOOKUP(Table_master_data[[#This Row],[Pick]],Table2[#All],2,FALSE))</f>
        <v>-</v>
      </c>
      <c r="P484" s="22"/>
    </row>
    <row r="485" spans="2:16" x14ac:dyDescent="0.25">
      <c r="B485" s="21">
        <v>221</v>
      </c>
      <c r="C485" s="21" t="s">
        <v>566</v>
      </c>
      <c r="D485" s="21" t="s">
        <v>258</v>
      </c>
      <c r="E485" s="21" t="s">
        <v>187</v>
      </c>
      <c r="F485" s="25">
        <v>18</v>
      </c>
      <c r="G485" s="26">
        <v>4.5</v>
      </c>
      <c r="H485" s="21" t="s">
        <v>243</v>
      </c>
      <c r="I485" s="23">
        <v>1</v>
      </c>
      <c r="J485" s="24">
        <v>5.39</v>
      </c>
      <c r="K485" s="32">
        <v>0.43000000000000005</v>
      </c>
      <c r="L485" s="24">
        <v>1.2</v>
      </c>
      <c r="M485" s="34"/>
      <c r="N485" s="34"/>
      <c r="O485" s="22" t="str">
        <f>IF(ISNA(VLOOKUP(Table_master_data[[#This Row],[Pick]],Table2[#All],2,FALSE)),"-",VLOOKUP(Table_master_data[[#This Row],[Pick]],Table2[#All],2,FALSE))</f>
        <v>-</v>
      </c>
      <c r="P485" s="22"/>
    </row>
    <row r="486" spans="2:16" x14ac:dyDescent="0.25">
      <c r="B486" s="21">
        <v>138</v>
      </c>
      <c r="C486" s="21" t="s">
        <v>163</v>
      </c>
      <c r="D486" s="21" t="s">
        <v>258</v>
      </c>
      <c r="E486" s="21" t="s">
        <v>373</v>
      </c>
      <c r="F486" s="25">
        <v>9</v>
      </c>
      <c r="G486" s="26">
        <v>4.5</v>
      </c>
      <c r="H486" s="21" t="s">
        <v>243</v>
      </c>
      <c r="I486" s="23">
        <v>1</v>
      </c>
      <c r="J486" s="24">
        <v>5.38</v>
      </c>
      <c r="K486" s="32">
        <v>0.42000000000000004</v>
      </c>
      <c r="L486" s="24">
        <v>1.2</v>
      </c>
      <c r="M486" s="34"/>
      <c r="N486" s="34"/>
      <c r="O486" s="22" t="str">
        <f>IF(ISNA(VLOOKUP(Table_master_data[[#This Row],[Pick]],Table2[#All],2,FALSE)),"-",VLOOKUP(Table_master_data[[#This Row],[Pick]],Table2[#All],2,FALSE))</f>
        <v>-</v>
      </c>
      <c r="P486" s="22"/>
    </row>
    <row r="487" spans="2:16" x14ac:dyDescent="0.25">
      <c r="B487" s="21">
        <v>657</v>
      </c>
      <c r="C487" s="21" t="s">
        <v>487</v>
      </c>
      <c r="D487" s="21" t="s">
        <v>178</v>
      </c>
      <c r="E487" s="21" t="s">
        <v>182</v>
      </c>
      <c r="F487" s="25">
        <v>0</v>
      </c>
      <c r="G487" s="26">
        <v>4.5</v>
      </c>
      <c r="H487" s="21" t="s">
        <v>251</v>
      </c>
      <c r="I487" s="23">
        <v>0</v>
      </c>
      <c r="J487" s="24">
        <v>5.36</v>
      </c>
      <c r="K487" s="32">
        <v>0.67</v>
      </c>
      <c r="L487" s="24">
        <v>1.19</v>
      </c>
      <c r="M487" s="34"/>
      <c r="N487" s="34"/>
      <c r="O487" s="22" t="str">
        <f>IF(ISNA(VLOOKUP(Table_master_data[[#This Row],[Pick]],Table2[#All],2,FALSE)),"-",VLOOKUP(Table_master_data[[#This Row],[Pick]],Table2[#All],2,FALSE))</f>
        <v>-</v>
      </c>
      <c r="P487" s="22"/>
    </row>
    <row r="488" spans="2:16" x14ac:dyDescent="0.25">
      <c r="B488" s="21">
        <v>480</v>
      </c>
      <c r="C488" s="21" t="s">
        <v>150</v>
      </c>
      <c r="D488" s="21" t="s">
        <v>181</v>
      </c>
      <c r="E488" s="21" t="s">
        <v>186</v>
      </c>
      <c r="F488" s="25">
        <v>0</v>
      </c>
      <c r="G488" s="26">
        <v>4.5</v>
      </c>
      <c r="H488" s="21" t="s">
        <v>243</v>
      </c>
      <c r="I488" s="23">
        <v>1</v>
      </c>
      <c r="J488" s="24">
        <v>5.35</v>
      </c>
      <c r="K488" s="32">
        <v>0.51</v>
      </c>
      <c r="L488" s="24">
        <v>1.19</v>
      </c>
      <c r="M488" s="34"/>
      <c r="N488" s="34"/>
      <c r="O488" s="22" t="str">
        <f>IF(ISNA(VLOOKUP(Table_master_data[[#This Row],[Pick]],Table2[#All],2,FALSE)),"-",VLOOKUP(Table_master_data[[#This Row],[Pick]],Table2[#All],2,FALSE))</f>
        <v>-</v>
      </c>
      <c r="P488" s="22"/>
    </row>
    <row r="489" spans="2:16" x14ac:dyDescent="0.25">
      <c r="B489" s="21">
        <v>288</v>
      </c>
      <c r="C489" s="21" t="s">
        <v>31</v>
      </c>
      <c r="D489" s="21" t="s">
        <v>258</v>
      </c>
      <c r="E489" s="21" t="s">
        <v>185</v>
      </c>
      <c r="F489" s="25">
        <v>19</v>
      </c>
      <c r="G489" s="26">
        <v>4.5</v>
      </c>
      <c r="H489" s="21" t="s">
        <v>243</v>
      </c>
      <c r="I489" s="23">
        <v>1</v>
      </c>
      <c r="J489" s="24">
        <v>5.26</v>
      </c>
      <c r="K489" s="32">
        <v>0.43000000000000005</v>
      </c>
      <c r="L489" s="24">
        <v>1.17</v>
      </c>
      <c r="M489" s="34"/>
      <c r="N489" s="34"/>
      <c r="O489" s="22" t="str">
        <f>IF(ISNA(VLOOKUP(Table_master_data[[#This Row],[Pick]],Table2[#All],2,FALSE)),"-",VLOOKUP(Table_master_data[[#This Row],[Pick]],Table2[#All],2,FALSE))</f>
        <v>-</v>
      </c>
      <c r="P489" s="22"/>
    </row>
    <row r="490" spans="2:16" x14ac:dyDescent="0.25">
      <c r="B490" s="21">
        <v>193</v>
      </c>
      <c r="C490" s="21" t="s">
        <v>436</v>
      </c>
      <c r="D490" s="21" t="s">
        <v>181</v>
      </c>
      <c r="E490" s="21" t="s">
        <v>508</v>
      </c>
      <c r="F490" s="25">
        <v>0</v>
      </c>
      <c r="G490" s="26">
        <v>4</v>
      </c>
      <c r="H490" s="21" t="s">
        <v>250</v>
      </c>
      <c r="I490" s="23">
        <v>0.25</v>
      </c>
      <c r="J490" s="24">
        <v>5.19</v>
      </c>
      <c r="K490" s="32">
        <v>0.49000000000000005</v>
      </c>
      <c r="L490" s="24">
        <v>1.3</v>
      </c>
      <c r="M490" s="34"/>
      <c r="N490" s="34"/>
      <c r="O490" s="22" t="str">
        <f>IF(ISNA(VLOOKUP(Table_master_data[[#This Row],[Pick]],Table2[#All],2,FALSE)),"-",VLOOKUP(Table_master_data[[#This Row],[Pick]],Table2[#All],2,FALSE))</f>
        <v>-</v>
      </c>
      <c r="P490" s="22"/>
    </row>
    <row r="491" spans="2:16" x14ac:dyDescent="0.25">
      <c r="B491" s="21">
        <v>664</v>
      </c>
      <c r="C491" s="21" t="s">
        <v>660</v>
      </c>
      <c r="D491" s="21" t="s">
        <v>258</v>
      </c>
      <c r="E491" s="21" t="s">
        <v>189</v>
      </c>
      <c r="F491" s="25">
        <v>0</v>
      </c>
      <c r="G491" s="26">
        <v>4</v>
      </c>
      <c r="H491" s="21" t="s">
        <v>243</v>
      </c>
      <c r="I491" s="23">
        <v>1</v>
      </c>
      <c r="J491" s="24">
        <v>5.17</v>
      </c>
      <c r="K491" s="32">
        <v>0.42000000000000004</v>
      </c>
      <c r="L491" s="24">
        <v>1.29</v>
      </c>
      <c r="M491" s="34"/>
      <c r="N491" s="34"/>
      <c r="O491" s="22" t="str">
        <f>IF(ISNA(VLOOKUP(Table_master_data[[#This Row],[Pick]],Table2[#All],2,FALSE)),"-",VLOOKUP(Table_master_data[[#This Row],[Pick]],Table2[#All],2,FALSE))</f>
        <v>-</v>
      </c>
      <c r="P491" s="22"/>
    </row>
    <row r="492" spans="2:16" x14ac:dyDescent="0.25">
      <c r="B492" s="21">
        <v>194</v>
      </c>
      <c r="C492" s="21" t="s">
        <v>637</v>
      </c>
      <c r="D492" s="21" t="s">
        <v>181</v>
      </c>
      <c r="E492" s="21" t="s">
        <v>508</v>
      </c>
      <c r="F492" s="25">
        <v>0</v>
      </c>
      <c r="G492" s="26">
        <v>4</v>
      </c>
      <c r="H492" s="21" t="s">
        <v>243</v>
      </c>
      <c r="I492" s="23">
        <v>1</v>
      </c>
      <c r="J492" s="24">
        <v>5.13</v>
      </c>
      <c r="K492" s="32">
        <v>0.44</v>
      </c>
      <c r="L492" s="24">
        <v>1.28</v>
      </c>
      <c r="M492" s="34"/>
      <c r="N492" s="34"/>
      <c r="O492" s="22" t="str">
        <f>IF(ISNA(VLOOKUP(Table_master_data[[#This Row],[Pick]],Table2[#All],2,FALSE)),"-",VLOOKUP(Table_master_data[[#This Row],[Pick]],Table2[#All],2,FALSE))</f>
        <v>-</v>
      </c>
      <c r="P492" s="22"/>
    </row>
    <row r="493" spans="2:16" x14ac:dyDescent="0.25">
      <c r="B493" s="21">
        <v>398</v>
      </c>
      <c r="C493" s="21" t="s">
        <v>693</v>
      </c>
      <c r="D493" s="21" t="s">
        <v>178</v>
      </c>
      <c r="E493" s="21" t="s">
        <v>180</v>
      </c>
      <c r="F493" s="25">
        <v>1</v>
      </c>
      <c r="G493" s="26">
        <v>4.5</v>
      </c>
      <c r="H493" s="21" t="s">
        <v>243</v>
      </c>
      <c r="I493" s="23">
        <v>1</v>
      </c>
      <c r="J493" s="24">
        <v>5.1100000000000003</v>
      </c>
      <c r="K493" s="32">
        <v>0.68</v>
      </c>
      <c r="L493" s="24">
        <v>1.1399999999999999</v>
      </c>
      <c r="M493" s="34"/>
      <c r="N493" s="34"/>
      <c r="O493" s="22" t="str">
        <f>IF(ISNA(VLOOKUP(Table_master_data[[#This Row],[Pick]],Table2[#All],2,FALSE)),"-",VLOOKUP(Table_master_data[[#This Row],[Pick]],Table2[#All],2,FALSE))</f>
        <v>-</v>
      </c>
      <c r="P493" s="22"/>
    </row>
    <row r="494" spans="2:16" x14ac:dyDescent="0.25">
      <c r="B494" s="21">
        <v>627</v>
      </c>
      <c r="C494" s="21" t="s">
        <v>130</v>
      </c>
      <c r="D494" s="21" t="s">
        <v>258</v>
      </c>
      <c r="E494" s="21" t="s">
        <v>182</v>
      </c>
      <c r="F494" s="25">
        <v>12</v>
      </c>
      <c r="G494" s="26">
        <v>4.5</v>
      </c>
      <c r="H494" s="21" t="s">
        <v>243</v>
      </c>
      <c r="I494" s="23">
        <v>1</v>
      </c>
      <c r="J494" s="24">
        <v>5.0999999999999996</v>
      </c>
      <c r="K494" s="32">
        <v>0.41</v>
      </c>
      <c r="L494" s="24">
        <v>1.1299999999999999</v>
      </c>
      <c r="M494" s="34"/>
      <c r="N494" s="34"/>
      <c r="O494" s="22" t="str">
        <f>IF(ISNA(VLOOKUP(Table_master_data[[#This Row],[Pick]],Table2[#All],2,FALSE)),"-",VLOOKUP(Table_master_data[[#This Row],[Pick]],Table2[#All],2,FALSE))</f>
        <v>-</v>
      </c>
      <c r="P494" s="22"/>
    </row>
    <row r="495" spans="2:16" x14ac:dyDescent="0.25">
      <c r="B495" s="21">
        <v>68</v>
      </c>
      <c r="C495" s="21" t="s">
        <v>168</v>
      </c>
      <c r="D495" s="21" t="s">
        <v>258</v>
      </c>
      <c r="E495" s="21" t="s">
        <v>190</v>
      </c>
      <c r="F495" s="25">
        <v>0</v>
      </c>
      <c r="G495" s="26">
        <v>4</v>
      </c>
      <c r="H495" s="21" t="s">
        <v>243</v>
      </c>
      <c r="I495" s="23">
        <v>1</v>
      </c>
      <c r="J495" s="24">
        <v>5.07</v>
      </c>
      <c r="K495" s="32">
        <v>0.39</v>
      </c>
      <c r="L495" s="24">
        <v>1.27</v>
      </c>
      <c r="M495" s="34"/>
      <c r="N495" s="34"/>
      <c r="O495" s="22" t="str">
        <f>IF(ISNA(VLOOKUP(Table_master_data[[#This Row],[Pick]],Table2[#All],2,FALSE)),"-",VLOOKUP(Table_master_data[[#This Row],[Pick]],Table2[#All],2,FALSE))</f>
        <v>-</v>
      </c>
      <c r="P495" s="22"/>
    </row>
    <row r="496" spans="2:16" x14ac:dyDescent="0.25">
      <c r="B496" s="21">
        <v>503</v>
      </c>
      <c r="C496" s="21" t="s">
        <v>462</v>
      </c>
      <c r="D496" s="21" t="s">
        <v>258</v>
      </c>
      <c r="E496" s="21" t="s">
        <v>374</v>
      </c>
      <c r="F496" s="25">
        <v>0</v>
      </c>
      <c r="G496" s="26">
        <v>4</v>
      </c>
      <c r="H496" s="21" t="s">
        <v>243</v>
      </c>
      <c r="I496" s="23">
        <v>1</v>
      </c>
      <c r="J496" s="24">
        <v>5.04</v>
      </c>
      <c r="K496" s="32">
        <v>0.41000000000000003</v>
      </c>
      <c r="L496" s="24">
        <v>1.26</v>
      </c>
      <c r="M496" s="34"/>
      <c r="N496" s="34"/>
      <c r="O496" s="22" t="str">
        <f>IF(ISNA(VLOOKUP(Table_master_data[[#This Row],[Pick]],Table2[#All],2,FALSE)),"-",VLOOKUP(Table_master_data[[#This Row],[Pick]],Table2[#All],2,FALSE))</f>
        <v>-</v>
      </c>
      <c r="P496" s="22"/>
    </row>
    <row r="497" spans="2:16" x14ac:dyDescent="0.25">
      <c r="B497" s="21">
        <v>215</v>
      </c>
      <c r="C497" s="21" t="s">
        <v>603</v>
      </c>
      <c r="D497" s="21" t="s">
        <v>178</v>
      </c>
      <c r="E497" s="21" t="s">
        <v>508</v>
      </c>
      <c r="F497" s="25">
        <v>0</v>
      </c>
      <c r="G497" s="26">
        <v>5.5</v>
      </c>
      <c r="H497" s="21" t="s">
        <v>243</v>
      </c>
      <c r="I497" s="23">
        <v>1</v>
      </c>
      <c r="J497" s="24">
        <v>5.01</v>
      </c>
      <c r="K497" s="32">
        <v>0.31000000000000005</v>
      </c>
      <c r="L497" s="24">
        <v>0.91</v>
      </c>
      <c r="M497" s="34"/>
      <c r="N497" s="34"/>
      <c r="O497" s="22" t="str">
        <f>IF(ISNA(VLOOKUP(Table_master_data[[#This Row],[Pick]],Table2[#All],2,FALSE)),"-",VLOOKUP(Table_master_data[[#This Row],[Pick]],Table2[#All],2,FALSE))</f>
        <v>-</v>
      </c>
      <c r="P497" s="22"/>
    </row>
    <row r="498" spans="2:16" x14ac:dyDescent="0.25">
      <c r="B498" s="21">
        <v>496</v>
      </c>
      <c r="C498" s="21" t="s">
        <v>341</v>
      </c>
      <c r="D498" s="21" t="s">
        <v>179</v>
      </c>
      <c r="E498" s="21" t="s">
        <v>186</v>
      </c>
      <c r="F498" s="25">
        <v>0</v>
      </c>
      <c r="G498" s="26">
        <v>4.5</v>
      </c>
      <c r="H498" s="21" t="s">
        <v>243</v>
      </c>
      <c r="I498" s="23">
        <v>1</v>
      </c>
      <c r="J498" s="24">
        <v>4.9800000000000004</v>
      </c>
      <c r="K498" s="32">
        <v>0.4</v>
      </c>
      <c r="L498" s="24">
        <v>1.1100000000000001</v>
      </c>
      <c r="M498" s="34"/>
      <c r="N498" s="34"/>
      <c r="O498" s="22" t="str">
        <f>IF(ISNA(VLOOKUP(Table_master_data[[#This Row],[Pick]],Table2[#All],2,FALSE)),"-",VLOOKUP(Table_master_data[[#This Row],[Pick]],Table2[#All],2,FALSE))</f>
        <v>-</v>
      </c>
      <c r="P498" s="22"/>
    </row>
    <row r="499" spans="2:16" x14ac:dyDescent="0.25">
      <c r="B499" s="21">
        <v>265</v>
      </c>
      <c r="C499" s="21" t="s">
        <v>592</v>
      </c>
      <c r="D499" s="21" t="s">
        <v>181</v>
      </c>
      <c r="E499" s="21" t="s">
        <v>188</v>
      </c>
      <c r="F499" s="25">
        <v>2</v>
      </c>
      <c r="G499" s="26">
        <v>4</v>
      </c>
      <c r="H499" s="21" t="s">
        <v>250</v>
      </c>
      <c r="I499" s="23">
        <v>0.25</v>
      </c>
      <c r="J499" s="24">
        <v>4.97</v>
      </c>
      <c r="K499" s="32">
        <v>0.61</v>
      </c>
      <c r="L499" s="24">
        <v>1.24</v>
      </c>
      <c r="M499" s="34"/>
      <c r="N499" s="34"/>
      <c r="O499" s="22" t="str">
        <f>IF(ISNA(VLOOKUP(Table_master_data[[#This Row],[Pick]],Table2[#All],2,FALSE)),"-",VLOOKUP(Table_master_data[[#This Row],[Pick]],Table2[#All],2,FALSE))</f>
        <v>-</v>
      </c>
      <c r="P499" s="22"/>
    </row>
    <row r="500" spans="2:16" x14ac:dyDescent="0.25">
      <c r="B500" s="21">
        <v>655</v>
      </c>
      <c r="C500" s="21" t="s">
        <v>811</v>
      </c>
      <c r="D500" s="21" t="s">
        <v>178</v>
      </c>
      <c r="E500" s="21" t="s">
        <v>182</v>
      </c>
      <c r="F500" s="25">
        <v>0</v>
      </c>
      <c r="G500" s="26">
        <v>5</v>
      </c>
      <c r="H500" s="21" t="s">
        <v>243</v>
      </c>
      <c r="I500" s="23">
        <v>1</v>
      </c>
      <c r="J500" s="24">
        <v>4.91</v>
      </c>
      <c r="K500" s="32">
        <v>0.41000000000000003</v>
      </c>
      <c r="L500" s="24">
        <v>0.98</v>
      </c>
      <c r="M500" s="34"/>
      <c r="N500" s="34"/>
      <c r="O500" s="22" t="str">
        <f>IF(ISNA(VLOOKUP(Table_master_data[[#This Row],[Pick]],Table2[#All],2,FALSE)),"-",VLOOKUP(Table_master_data[[#This Row],[Pick]],Table2[#All],2,FALSE))</f>
        <v>-</v>
      </c>
      <c r="P500" s="22"/>
    </row>
    <row r="501" spans="2:16" x14ac:dyDescent="0.25">
      <c r="B501" s="21">
        <v>484</v>
      </c>
      <c r="C501" s="21" t="s">
        <v>79</v>
      </c>
      <c r="D501" s="21" t="s">
        <v>181</v>
      </c>
      <c r="E501" s="21" t="s">
        <v>186</v>
      </c>
      <c r="F501" s="25">
        <v>2</v>
      </c>
      <c r="G501" s="26">
        <v>4</v>
      </c>
      <c r="H501" s="21" t="s">
        <v>243</v>
      </c>
      <c r="I501" s="23">
        <v>1</v>
      </c>
      <c r="J501" s="24">
        <v>4.9000000000000004</v>
      </c>
      <c r="K501" s="32">
        <v>0.57999999999999996</v>
      </c>
      <c r="L501" s="24">
        <v>1.23</v>
      </c>
      <c r="M501" s="34"/>
      <c r="N501" s="34"/>
      <c r="O501" s="22" t="str">
        <f>IF(ISNA(VLOOKUP(Table_master_data[[#This Row],[Pick]],Table2[#All],2,FALSE)),"-",VLOOKUP(Table_master_data[[#This Row],[Pick]],Table2[#All],2,FALSE))</f>
        <v>-</v>
      </c>
      <c r="P501" s="22"/>
    </row>
    <row r="502" spans="2:16" x14ac:dyDescent="0.25">
      <c r="B502" s="21">
        <v>658</v>
      </c>
      <c r="C502" s="21" t="s">
        <v>62</v>
      </c>
      <c r="D502" s="21" t="s">
        <v>178</v>
      </c>
      <c r="E502" s="21" t="s">
        <v>182</v>
      </c>
      <c r="F502" s="25">
        <v>0</v>
      </c>
      <c r="G502" s="26">
        <v>4.5</v>
      </c>
      <c r="H502" s="21" t="s">
        <v>243</v>
      </c>
      <c r="I502" s="23">
        <v>1</v>
      </c>
      <c r="J502" s="24">
        <v>4.82</v>
      </c>
      <c r="K502" s="32">
        <v>0.4</v>
      </c>
      <c r="L502" s="24">
        <v>1.07</v>
      </c>
      <c r="M502" s="34"/>
      <c r="N502" s="34"/>
      <c r="O502" s="22" t="str">
        <f>IF(ISNA(VLOOKUP(Table_master_data[[#This Row],[Pick]],Table2[#All],2,FALSE)),"-",VLOOKUP(Table_master_data[[#This Row],[Pick]],Table2[#All],2,FALSE))</f>
        <v>-</v>
      </c>
      <c r="P502" s="22"/>
    </row>
    <row r="503" spans="2:16" x14ac:dyDescent="0.25">
      <c r="B503" s="21">
        <v>650</v>
      </c>
      <c r="C503" s="21" t="s">
        <v>492</v>
      </c>
      <c r="D503" s="21" t="s">
        <v>179</v>
      </c>
      <c r="E503" s="21" t="s">
        <v>182</v>
      </c>
      <c r="F503" s="25">
        <v>0</v>
      </c>
      <c r="G503" s="26">
        <v>4.5</v>
      </c>
      <c r="H503" s="21" t="s">
        <v>243</v>
      </c>
      <c r="I503" s="23">
        <v>1</v>
      </c>
      <c r="J503" s="24">
        <v>4.67</v>
      </c>
      <c r="K503" s="32">
        <v>0.38</v>
      </c>
      <c r="L503" s="24">
        <v>1.04</v>
      </c>
      <c r="M503" s="34"/>
      <c r="N503" s="34"/>
      <c r="O503" s="22" t="str">
        <f>IF(ISNA(VLOOKUP(Table_master_data[[#This Row],[Pick]],Table2[#All],2,FALSE)),"-",VLOOKUP(Table_master_data[[#This Row],[Pick]],Table2[#All],2,FALSE))</f>
        <v>-</v>
      </c>
      <c r="P503" s="22"/>
    </row>
    <row r="504" spans="2:16" x14ac:dyDescent="0.25">
      <c r="B504" s="21">
        <v>307</v>
      </c>
      <c r="C504" s="21" t="s">
        <v>607</v>
      </c>
      <c r="D504" s="21" t="s">
        <v>179</v>
      </c>
      <c r="E504" s="21" t="s">
        <v>185</v>
      </c>
      <c r="F504" s="25">
        <v>0</v>
      </c>
      <c r="G504" s="26">
        <v>4.5</v>
      </c>
      <c r="H504" s="21" t="s">
        <v>243</v>
      </c>
      <c r="I504" s="23">
        <v>1</v>
      </c>
      <c r="J504" s="24">
        <v>4.5999999999999996</v>
      </c>
      <c r="K504" s="32">
        <v>0.4</v>
      </c>
      <c r="L504" s="24">
        <v>1.02</v>
      </c>
      <c r="M504" s="34"/>
      <c r="N504" s="34"/>
      <c r="O504" s="22" t="str">
        <f>IF(ISNA(VLOOKUP(Table_master_data[[#This Row],[Pick]],Table2[#All],2,FALSE)),"-",VLOOKUP(Table_master_data[[#This Row],[Pick]],Table2[#All],2,FALSE))</f>
        <v>-</v>
      </c>
      <c r="P504" s="22"/>
    </row>
    <row r="505" spans="2:16" x14ac:dyDescent="0.25">
      <c r="B505" s="21">
        <v>216</v>
      </c>
      <c r="C505" s="21" t="s">
        <v>532</v>
      </c>
      <c r="D505" s="21" t="s">
        <v>178</v>
      </c>
      <c r="E505" s="21" t="s">
        <v>508</v>
      </c>
      <c r="F505" s="25">
        <v>0</v>
      </c>
      <c r="G505" s="26">
        <v>5</v>
      </c>
      <c r="H505" s="21" t="s">
        <v>251</v>
      </c>
      <c r="I505" s="23">
        <v>0</v>
      </c>
      <c r="J505" s="24">
        <v>4.59</v>
      </c>
      <c r="K505" s="32">
        <v>0.32999999999999996</v>
      </c>
      <c r="L505" s="24">
        <v>0.92</v>
      </c>
      <c r="M505" s="34"/>
      <c r="N505" s="34"/>
      <c r="O505" s="22" t="str">
        <f>IF(ISNA(VLOOKUP(Table_master_data[[#This Row],[Pick]],Table2[#All],2,FALSE)),"-",VLOOKUP(Table_master_data[[#This Row],[Pick]],Table2[#All],2,FALSE))</f>
        <v>-</v>
      </c>
      <c r="P505" s="22"/>
    </row>
    <row r="506" spans="2:16" x14ac:dyDescent="0.25">
      <c r="B506" s="21">
        <v>339</v>
      </c>
      <c r="C506" s="21" t="s">
        <v>677</v>
      </c>
      <c r="D506" s="21" t="s">
        <v>258</v>
      </c>
      <c r="E506" s="21" t="s">
        <v>815</v>
      </c>
      <c r="F506" s="25">
        <v>0</v>
      </c>
      <c r="G506" s="26">
        <v>4.5</v>
      </c>
      <c r="H506" s="21" t="s">
        <v>243</v>
      </c>
      <c r="I506" s="23">
        <v>1</v>
      </c>
      <c r="J506" s="24">
        <v>4.58</v>
      </c>
      <c r="K506" s="32">
        <v>0.26</v>
      </c>
      <c r="L506" s="24">
        <v>1.02</v>
      </c>
      <c r="M506" s="34"/>
      <c r="N506" s="34"/>
      <c r="O506" s="22" t="str">
        <f>IF(ISNA(VLOOKUP(Table_master_data[[#This Row],[Pick]],Table2[#All],2,FALSE)),"-",VLOOKUP(Table_master_data[[#This Row],[Pick]],Table2[#All],2,FALSE))</f>
        <v>-</v>
      </c>
      <c r="P506" s="22"/>
    </row>
    <row r="507" spans="2:16" x14ac:dyDescent="0.25">
      <c r="B507" s="21">
        <v>131</v>
      </c>
      <c r="C507" s="21" t="s">
        <v>406</v>
      </c>
      <c r="D507" s="21" t="s">
        <v>179</v>
      </c>
      <c r="E507" s="21" t="s">
        <v>183</v>
      </c>
      <c r="F507" s="25">
        <v>10</v>
      </c>
      <c r="G507" s="26">
        <v>4.5</v>
      </c>
      <c r="H507" s="21" t="s">
        <v>243</v>
      </c>
      <c r="I507" s="23">
        <v>1</v>
      </c>
      <c r="J507" s="24">
        <v>4.41</v>
      </c>
      <c r="K507" s="32">
        <v>0.57999999999999996</v>
      </c>
      <c r="L507" s="24">
        <v>0.98</v>
      </c>
      <c r="M507" s="34"/>
      <c r="N507" s="34"/>
      <c r="O507" s="22" t="str">
        <f>IF(ISNA(VLOOKUP(Table_master_data[[#This Row],[Pick]],Table2[#All],2,FALSE)),"-",VLOOKUP(Table_master_data[[#This Row],[Pick]],Table2[#All],2,FALSE))</f>
        <v>-</v>
      </c>
      <c r="P507" s="22"/>
    </row>
    <row r="508" spans="2:16" x14ac:dyDescent="0.25">
      <c r="B508" s="21">
        <v>567</v>
      </c>
      <c r="C508" s="21" t="s">
        <v>744</v>
      </c>
      <c r="D508" s="21" t="s">
        <v>258</v>
      </c>
      <c r="E508" s="21" t="s">
        <v>192</v>
      </c>
      <c r="F508" s="25">
        <v>17</v>
      </c>
      <c r="G508" s="26">
        <v>4</v>
      </c>
      <c r="H508" s="21" t="s">
        <v>243</v>
      </c>
      <c r="I508" s="23">
        <v>1</v>
      </c>
      <c r="J508" s="24">
        <v>4.3899999999999997</v>
      </c>
      <c r="K508" s="32">
        <v>0.39000000000000007</v>
      </c>
      <c r="L508" s="24">
        <v>1.1000000000000001</v>
      </c>
      <c r="M508" s="34"/>
      <c r="N508" s="34"/>
      <c r="O508" s="22" t="str">
        <f>IF(ISNA(VLOOKUP(Table_master_data[[#This Row],[Pick]],Table2[#All],2,FALSE)),"-",VLOOKUP(Table_master_data[[#This Row],[Pick]],Table2[#All],2,FALSE))</f>
        <v>-</v>
      </c>
      <c r="P508" s="22"/>
    </row>
    <row r="509" spans="2:16" x14ac:dyDescent="0.25">
      <c r="B509" s="21">
        <v>528</v>
      </c>
      <c r="C509" s="21" t="s">
        <v>103</v>
      </c>
      <c r="D509" s="21" t="s">
        <v>258</v>
      </c>
      <c r="E509" s="21" t="s">
        <v>802</v>
      </c>
      <c r="F509" s="25">
        <v>0</v>
      </c>
      <c r="G509" s="26">
        <v>4.5</v>
      </c>
      <c r="H509" s="21" t="s">
        <v>243</v>
      </c>
      <c r="I509" s="23">
        <v>1</v>
      </c>
      <c r="J509" s="24">
        <v>4.29</v>
      </c>
      <c r="K509" s="32">
        <v>0.25</v>
      </c>
      <c r="L509" s="24">
        <v>0.95</v>
      </c>
      <c r="M509" s="34"/>
      <c r="N509" s="34"/>
      <c r="O509" s="22" t="str">
        <f>IF(ISNA(VLOOKUP(Table_master_data[[#This Row],[Pick]],Table2[#All],2,FALSE)),"-",VLOOKUP(Table_master_data[[#This Row],[Pick]],Table2[#All],2,FALSE))</f>
        <v>-</v>
      </c>
      <c r="P509" s="22"/>
    </row>
    <row r="510" spans="2:16" x14ac:dyDescent="0.25">
      <c r="B510" s="21">
        <v>601</v>
      </c>
      <c r="C510" s="21" t="s">
        <v>288</v>
      </c>
      <c r="D510" s="21" t="s">
        <v>258</v>
      </c>
      <c r="E510" s="21" t="s">
        <v>372</v>
      </c>
      <c r="F510" s="25">
        <v>0</v>
      </c>
      <c r="G510" s="26">
        <v>4</v>
      </c>
      <c r="H510" s="21" t="s">
        <v>243</v>
      </c>
      <c r="I510" s="23">
        <v>1</v>
      </c>
      <c r="J510" s="24">
        <v>4.16</v>
      </c>
      <c r="K510" s="32">
        <v>0.38</v>
      </c>
      <c r="L510" s="24">
        <v>1.04</v>
      </c>
      <c r="M510" s="34"/>
      <c r="N510" s="34"/>
      <c r="O510" s="22" t="str">
        <f>IF(ISNA(VLOOKUP(Table_master_data[[#This Row],[Pick]],Table2[#All],2,FALSE)),"-",VLOOKUP(Table_master_data[[#This Row],[Pick]],Table2[#All],2,FALSE))</f>
        <v>-</v>
      </c>
      <c r="P510" s="22"/>
    </row>
    <row r="511" spans="2:16" x14ac:dyDescent="0.25">
      <c r="B511" s="21">
        <v>94</v>
      </c>
      <c r="C511" s="21" t="s">
        <v>534</v>
      </c>
      <c r="D511" s="21" t="s">
        <v>179</v>
      </c>
      <c r="E511" s="21" t="s">
        <v>190</v>
      </c>
      <c r="F511" s="25">
        <v>0</v>
      </c>
      <c r="G511" s="26">
        <v>4.5</v>
      </c>
      <c r="H511" s="21" t="s">
        <v>243</v>
      </c>
      <c r="I511" s="23">
        <v>1</v>
      </c>
      <c r="J511" s="24">
        <v>4.0999999999999996</v>
      </c>
      <c r="K511" s="32">
        <v>0.46</v>
      </c>
      <c r="L511" s="24">
        <v>0.91</v>
      </c>
      <c r="M511" s="34"/>
      <c r="N511" s="34"/>
      <c r="O511" s="22" t="str">
        <f>IF(ISNA(VLOOKUP(Table_master_data[[#This Row],[Pick]],Table2[#All],2,FALSE)),"-",VLOOKUP(Table_master_data[[#This Row],[Pick]],Table2[#All],2,FALSE))</f>
        <v>-</v>
      </c>
      <c r="P511" s="22"/>
    </row>
    <row r="512" spans="2:16" x14ac:dyDescent="0.25">
      <c r="B512" s="21">
        <v>204</v>
      </c>
      <c r="C512" s="21" t="s">
        <v>638</v>
      </c>
      <c r="D512" s="21" t="s">
        <v>179</v>
      </c>
      <c r="E512" s="21" t="s">
        <v>508</v>
      </c>
      <c r="F512" s="25">
        <v>0</v>
      </c>
      <c r="G512" s="26">
        <v>5</v>
      </c>
      <c r="H512" s="21" t="s">
        <v>243</v>
      </c>
      <c r="I512" s="23">
        <v>1</v>
      </c>
      <c r="J512" s="24">
        <v>3.93</v>
      </c>
      <c r="K512" s="32">
        <v>0.49</v>
      </c>
      <c r="L512" s="24">
        <v>0.79</v>
      </c>
      <c r="M512" s="34"/>
      <c r="N512" s="34"/>
      <c r="O512" s="22" t="str">
        <f>IF(ISNA(VLOOKUP(Table_master_data[[#This Row],[Pick]],Table2[#All],2,FALSE)),"-",VLOOKUP(Table_master_data[[#This Row],[Pick]],Table2[#All],2,FALSE))</f>
        <v>-</v>
      </c>
      <c r="P512" s="22"/>
    </row>
    <row r="513" spans="2:16" x14ac:dyDescent="0.25">
      <c r="B513" s="21">
        <v>462</v>
      </c>
      <c r="C513" s="21" t="s">
        <v>723</v>
      </c>
      <c r="D513" s="21" t="s">
        <v>179</v>
      </c>
      <c r="E513" s="21" t="s">
        <v>193</v>
      </c>
      <c r="F513" s="25">
        <v>0</v>
      </c>
      <c r="G513" s="26">
        <v>4.5</v>
      </c>
      <c r="H513" s="21" t="s">
        <v>243</v>
      </c>
      <c r="I513" s="23">
        <v>1</v>
      </c>
      <c r="J513" s="24">
        <v>3.91</v>
      </c>
      <c r="K513" s="32">
        <v>0.36</v>
      </c>
      <c r="L513" s="24">
        <v>0.87</v>
      </c>
      <c r="M513" s="34"/>
      <c r="N513" s="34"/>
      <c r="O513" s="22" t="str">
        <f>IF(ISNA(VLOOKUP(Table_master_data[[#This Row],[Pick]],Table2[#All],2,FALSE)),"-",VLOOKUP(Table_master_data[[#This Row],[Pick]],Table2[#All],2,FALSE))</f>
        <v>-</v>
      </c>
      <c r="P513" s="22"/>
    </row>
    <row r="514" spans="2:16" x14ac:dyDescent="0.25">
      <c r="B514" s="21">
        <v>213</v>
      </c>
      <c r="C514" s="21" t="s">
        <v>639</v>
      </c>
      <c r="D514" s="21" t="s">
        <v>179</v>
      </c>
      <c r="E514" s="21" t="s">
        <v>508</v>
      </c>
      <c r="F514" s="25">
        <v>0</v>
      </c>
      <c r="G514" s="26">
        <v>4.5</v>
      </c>
      <c r="H514" s="21" t="s">
        <v>243</v>
      </c>
      <c r="I514" s="23">
        <v>1</v>
      </c>
      <c r="J514" s="24">
        <v>3.86</v>
      </c>
      <c r="K514" s="32">
        <v>0.48</v>
      </c>
      <c r="L514" s="24">
        <v>0.86</v>
      </c>
      <c r="M514" s="34"/>
      <c r="N514" s="34"/>
      <c r="O514" s="22" t="str">
        <f>IF(ISNA(VLOOKUP(Table_master_data[[#This Row],[Pick]],Table2[#All],2,FALSE)),"-",VLOOKUP(Table_master_data[[#This Row],[Pick]],Table2[#All],2,FALSE))</f>
        <v>-</v>
      </c>
      <c r="P514" s="22"/>
    </row>
    <row r="515" spans="2:16" x14ac:dyDescent="0.25">
      <c r="B515" s="21">
        <v>652</v>
      </c>
      <c r="C515" s="21" t="s">
        <v>493</v>
      </c>
      <c r="D515" s="21" t="s">
        <v>179</v>
      </c>
      <c r="E515" s="21" t="s">
        <v>182</v>
      </c>
      <c r="F515" s="25">
        <v>0</v>
      </c>
      <c r="G515" s="26">
        <v>4.5</v>
      </c>
      <c r="H515" s="21" t="s">
        <v>243</v>
      </c>
      <c r="I515" s="23">
        <v>1</v>
      </c>
      <c r="J515" s="24">
        <v>3.62</v>
      </c>
      <c r="K515" s="32">
        <v>0.35</v>
      </c>
      <c r="L515" s="24">
        <v>0.81</v>
      </c>
      <c r="M515" s="34"/>
      <c r="N515" s="34"/>
      <c r="O515" s="22" t="str">
        <f>IF(ISNA(VLOOKUP(Table_master_data[[#This Row],[Pick]],Table2[#All],2,FALSE)),"-",VLOOKUP(Table_master_data[[#This Row],[Pick]],Table2[#All],2,FALSE))</f>
        <v>-</v>
      </c>
      <c r="P515" s="22"/>
    </row>
    <row r="516" spans="2:16" x14ac:dyDescent="0.25">
      <c r="B516" s="21">
        <v>425</v>
      </c>
      <c r="C516" s="21" t="s">
        <v>707</v>
      </c>
      <c r="D516" s="21" t="s">
        <v>179</v>
      </c>
      <c r="E516" s="21" t="s">
        <v>184</v>
      </c>
      <c r="F516" s="25">
        <v>1</v>
      </c>
      <c r="G516" s="26">
        <v>5.5</v>
      </c>
      <c r="H516" s="21" t="s">
        <v>243</v>
      </c>
      <c r="I516" s="23">
        <v>1</v>
      </c>
      <c r="J516" s="24">
        <v>3.58</v>
      </c>
      <c r="K516" s="32">
        <v>0.46</v>
      </c>
      <c r="L516" s="24">
        <v>0.65</v>
      </c>
      <c r="M516" s="34"/>
      <c r="N516" s="34"/>
      <c r="O516" s="22" t="str">
        <f>IF(ISNA(VLOOKUP(Table_master_data[[#This Row],[Pick]],Table2[#All],2,FALSE)),"-",VLOOKUP(Table_master_data[[#This Row],[Pick]],Table2[#All],2,FALSE))</f>
        <v>-</v>
      </c>
      <c r="P516" s="22"/>
    </row>
    <row r="517" spans="2:16" x14ac:dyDescent="0.25">
      <c r="B517" s="21">
        <v>212</v>
      </c>
      <c r="C517" s="21" t="s">
        <v>584</v>
      </c>
      <c r="D517" s="21" t="s">
        <v>179</v>
      </c>
      <c r="E517" s="21" t="s">
        <v>508</v>
      </c>
      <c r="F517" s="25">
        <v>0</v>
      </c>
      <c r="G517" s="26">
        <v>4.5</v>
      </c>
      <c r="H517" s="21" t="s">
        <v>243</v>
      </c>
      <c r="I517" s="23">
        <v>1</v>
      </c>
      <c r="J517" s="24">
        <v>3.57</v>
      </c>
      <c r="K517" s="32">
        <v>0.45000000000000007</v>
      </c>
      <c r="L517" s="24">
        <v>0.79</v>
      </c>
      <c r="M517" s="34"/>
      <c r="N517" s="34"/>
      <c r="O517" s="22" t="str">
        <f>IF(ISNA(VLOOKUP(Table_master_data[[#This Row],[Pick]],Table2[#All],2,FALSE)),"-",VLOOKUP(Table_master_data[[#This Row],[Pick]],Table2[#All],2,FALSE))</f>
        <v>-</v>
      </c>
      <c r="P517" s="22"/>
    </row>
    <row r="518" spans="2:16" x14ac:dyDescent="0.25">
      <c r="B518" s="21">
        <v>306</v>
      </c>
      <c r="C518" s="21" t="s">
        <v>609</v>
      </c>
      <c r="D518" s="21" t="s">
        <v>179</v>
      </c>
      <c r="E518" s="21" t="s">
        <v>185</v>
      </c>
      <c r="F518" s="25">
        <v>0</v>
      </c>
      <c r="G518" s="26">
        <v>4.5</v>
      </c>
      <c r="H518" s="21" t="s">
        <v>243</v>
      </c>
      <c r="I518" s="23">
        <v>1</v>
      </c>
      <c r="J518" s="24">
        <v>3.42</v>
      </c>
      <c r="K518" s="32">
        <v>0.30000000000000004</v>
      </c>
      <c r="L518" s="24">
        <v>0.76</v>
      </c>
      <c r="M518" s="34"/>
      <c r="N518" s="34"/>
      <c r="O518" s="22" t="str">
        <f>IF(ISNA(VLOOKUP(Table_master_data[[#This Row],[Pick]],Table2[#All],2,FALSE)),"-",VLOOKUP(Table_master_data[[#This Row],[Pick]],Table2[#All],2,FALSE))</f>
        <v>-</v>
      </c>
      <c r="P518" s="22"/>
    </row>
    <row r="519" spans="2:16" x14ac:dyDescent="0.25">
      <c r="B519" s="21">
        <v>641</v>
      </c>
      <c r="C519" s="21" t="s">
        <v>796</v>
      </c>
      <c r="D519" s="21" t="s">
        <v>181</v>
      </c>
      <c r="E519" s="21" t="s">
        <v>182</v>
      </c>
      <c r="F519" s="25">
        <v>1</v>
      </c>
      <c r="G519" s="26">
        <v>4</v>
      </c>
      <c r="H519" s="21" t="s">
        <v>243</v>
      </c>
      <c r="I519" s="23">
        <v>1</v>
      </c>
      <c r="J519" s="24">
        <v>3.4</v>
      </c>
      <c r="K519" s="32">
        <v>0.41000000000000003</v>
      </c>
      <c r="L519" s="24">
        <v>0.85</v>
      </c>
      <c r="M519" s="34"/>
      <c r="N519" s="34"/>
      <c r="O519" s="22" t="str">
        <f>IF(ISNA(VLOOKUP(Table_master_data[[#This Row],[Pick]],Table2[#All],2,FALSE)),"-",VLOOKUP(Table_master_data[[#This Row],[Pick]],Table2[#All],2,FALSE))</f>
        <v>-</v>
      </c>
      <c r="P519" s="22"/>
    </row>
    <row r="520" spans="2:16" x14ac:dyDescent="0.25">
      <c r="B520" s="21">
        <v>439</v>
      </c>
      <c r="C520" s="21" t="s">
        <v>715</v>
      </c>
      <c r="D520" s="21" t="s">
        <v>181</v>
      </c>
      <c r="E520" s="21" t="s">
        <v>193</v>
      </c>
      <c r="F520" s="25">
        <v>0</v>
      </c>
      <c r="G520" s="26">
        <v>4.5</v>
      </c>
      <c r="H520" s="21" t="s">
        <v>243</v>
      </c>
      <c r="I520" s="23">
        <v>1</v>
      </c>
      <c r="J520" s="24">
        <v>3.38</v>
      </c>
      <c r="K520" s="32">
        <v>0.45000000000000007</v>
      </c>
      <c r="L520" s="24">
        <v>0.75</v>
      </c>
      <c r="M520" s="34"/>
      <c r="N520" s="34"/>
      <c r="O520" s="22" t="str">
        <f>IF(ISNA(VLOOKUP(Table_master_data[[#This Row],[Pick]],Table2[#All],2,FALSE)),"-",VLOOKUP(Table_master_data[[#This Row],[Pick]],Table2[#All],2,FALSE))</f>
        <v>-</v>
      </c>
      <c r="P520" s="22"/>
    </row>
    <row r="521" spans="2:16" x14ac:dyDescent="0.25">
      <c r="B521" s="21">
        <v>254</v>
      </c>
      <c r="C521" s="21" t="s">
        <v>563</v>
      </c>
      <c r="D521" s="21" t="s">
        <v>258</v>
      </c>
      <c r="E521" s="21" t="s">
        <v>188</v>
      </c>
      <c r="F521" s="25">
        <v>0</v>
      </c>
      <c r="G521" s="26">
        <v>4</v>
      </c>
      <c r="H521" s="21" t="s">
        <v>243</v>
      </c>
      <c r="I521" s="23">
        <v>1</v>
      </c>
      <c r="J521" s="24">
        <v>3.37</v>
      </c>
      <c r="K521" s="32">
        <v>0.37000000000000005</v>
      </c>
      <c r="L521" s="24">
        <v>0.84</v>
      </c>
      <c r="M521" s="34"/>
      <c r="N521" s="34"/>
      <c r="O521" s="22" t="str">
        <f>IF(ISNA(VLOOKUP(Table_master_data[[#This Row],[Pick]],Table2[#All],2,FALSE)),"-",VLOOKUP(Table_master_data[[#This Row],[Pick]],Table2[#All],2,FALSE))</f>
        <v>-</v>
      </c>
      <c r="P521" s="22"/>
    </row>
    <row r="522" spans="2:16" x14ac:dyDescent="0.25">
      <c r="B522" s="21">
        <v>185</v>
      </c>
      <c r="C522" s="21" t="s">
        <v>513</v>
      </c>
      <c r="D522" s="21" t="s">
        <v>258</v>
      </c>
      <c r="E522" s="21" t="s">
        <v>508</v>
      </c>
      <c r="F522" s="25">
        <v>0</v>
      </c>
      <c r="G522" s="26">
        <v>4</v>
      </c>
      <c r="H522" s="21" t="s">
        <v>243</v>
      </c>
      <c r="I522" s="23">
        <v>1</v>
      </c>
      <c r="J522" s="24">
        <v>3.3</v>
      </c>
      <c r="K522" s="32">
        <v>0.72</v>
      </c>
      <c r="L522" s="24">
        <v>0.83</v>
      </c>
      <c r="M522" s="34"/>
      <c r="N522" s="34"/>
      <c r="O522" s="22" t="str">
        <f>IF(ISNA(VLOOKUP(Table_master_data[[#This Row],[Pick]],Table2[#All],2,FALSE)),"-",VLOOKUP(Table_master_data[[#This Row],[Pick]],Table2[#All],2,FALSE))</f>
        <v>-</v>
      </c>
      <c r="P522" s="22"/>
    </row>
    <row r="523" spans="2:16" x14ac:dyDescent="0.25">
      <c r="B523" s="21">
        <v>463</v>
      </c>
      <c r="C523" s="21" t="s">
        <v>724</v>
      </c>
      <c r="D523" s="21" t="s">
        <v>179</v>
      </c>
      <c r="E523" s="21" t="s">
        <v>193</v>
      </c>
      <c r="F523" s="25">
        <v>0</v>
      </c>
      <c r="G523" s="26">
        <v>4.5</v>
      </c>
      <c r="H523" s="21" t="s">
        <v>243</v>
      </c>
      <c r="I523" s="23">
        <v>1</v>
      </c>
      <c r="J523" s="24">
        <v>3.18</v>
      </c>
      <c r="K523" s="32">
        <v>0.42000000000000004</v>
      </c>
      <c r="L523" s="24">
        <v>0.71</v>
      </c>
      <c r="M523" s="34"/>
      <c r="N523" s="34"/>
      <c r="O523" s="22" t="str">
        <f>IF(ISNA(VLOOKUP(Table_master_data[[#This Row],[Pick]],Table2[#All],2,FALSE)),"-",VLOOKUP(Table_master_data[[#This Row],[Pick]],Table2[#All],2,FALSE))</f>
        <v>-</v>
      </c>
      <c r="P523" s="22"/>
    </row>
    <row r="524" spans="2:16" x14ac:dyDescent="0.25">
      <c r="B524" s="21">
        <v>461</v>
      </c>
      <c r="C524" s="21" t="s">
        <v>722</v>
      </c>
      <c r="D524" s="21" t="s">
        <v>179</v>
      </c>
      <c r="E524" s="21" t="s">
        <v>193</v>
      </c>
      <c r="F524" s="25">
        <v>0</v>
      </c>
      <c r="G524" s="26">
        <v>4.5</v>
      </c>
      <c r="H524" s="21" t="s">
        <v>243</v>
      </c>
      <c r="I524" s="23">
        <v>1</v>
      </c>
      <c r="J524" s="24">
        <v>3.03</v>
      </c>
      <c r="K524" s="32">
        <v>0.28000000000000003</v>
      </c>
      <c r="L524" s="24">
        <v>0.67</v>
      </c>
      <c r="M524" s="34"/>
      <c r="N524" s="34"/>
      <c r="O524" s="22" t="str">
        <f>IF(ISNA(VLOOKUP(Table_master_data[[#This Row],[Pick]],Table2[#All],2,FALSE)),"-",VLOOKUP(Table_master_data[[#This Row],[Pick]],Table2[#All],2,FALSE))</f>
        <v>-</v>
      </c>
      <c r="P524" s="22"/>
    </row>
    <row r="525" spans="2:16" x14ac:dyDescent="0.25">
      <c r="B525" s="21">
        <v>464</v>
      </c>
      <c r="C525" s="21" t="s">
        <v>725</v>
      </c>
      <c r="D525" s="21" t="s">
        <v>179</v>
      </c>
      <c r="E525" s="21" t="s">
        <v>193</v>
      </c>
      <c r="F525" s="25">
        <v>0</v>
      </c>
      <c r="G525" s="26">
        <v>4.5</v>
      </c>
      <c r="H525" s="21" t="s">
        <v>243</v>
      </c>
      <c r="I525" s="23">
        <v>1</v>
      </c>
      <c r="J525" s="24">
        <v>3.03</v>
      </c>
      <c r="K525" s="32">
        <v>0.28000000000000003</v>
      </c>
      <c r="L525" s="24">
        <v>0.67</v>
      </c>
      <c r="M525" s="34"/>
      <c r="N525" s="34"/>
      <c r="O525" s="22" t="str">
        <f>IF(ISNA(VLOOKUP(Table_master_data[[#This Row],[Pick]],Table2[#All],2,FALSE)),"-",VLOOKUP(Table_master_data[[#This Row],[Pick]],Table2[#All],2,FALSE))</f>
        <v>-</v>
      </c>
      <c r="P525" s="22"/>
    </row>
    <row r="526" spans="2:16" x14ac:dyDescent="0.25">
      <c r="B526" s="21">
        <v>446</v>
      </c>
      <c r="C526" s="21" t="s">
        <v>717</v>
      </c>
      <c r="D526" s="21" t="s">
        <v>181</v>
      </c>
      <c r="E526" s="21" t="s">
        <v>193</v>
      </c>
      <c r="F526" s="25">
        <v>2</v>
      </c>
      <c r="G526" s="26">
        <v>4</v>
      </c>
      <c r="H526" s="21" t="s">
        <v>243</v>
      </c>
      <c r="I526" s="23">
        <v>1</v>
      </c>
      <c r="J526" s="24">
        <v>2.97</v>
      </c>
      <c r="K526" s="32">
        <v>0.39000000000000007</v>
      </c>
      <c r="L526" s="24">
        <v>0.74</v>
      </c>
      <c r="M526" s="34"/>
      <c r="N526" s="34"/>
      <c r="O526" s="22" t="str">
        <f>IF(ISNA(VLOOKUP(Table_master_data[[#This Row],[Pick]],Table2[#All],2,FALSE)),"-",VLOOKUP(Table_master_data[[#This Row],[Pick]],Table2[#All],2,FALSE))</f>
        <v>-</v>
      </c>
      <c r="P526" s="22"/>
    </row>
    <row r="527" spans="2:16" x14ac:dyDescent="0.25">
      <c r="B527" s="21">
        <v>195</v>
      </c>
      <c r="C527" s="21" t="s">
        <v>585</v>
      </c>
      <c r="D527" s="21" t="s">
        <v>181</v>
      </c>
      <c r="E527" s="21" t="s">
        <v>508</v>
      </c>
      <c r="F527" s="25">
        <v>0</v>
      </c>
      <c r="G527" s="26">
        <v>4</v>
      </c>
      <c r="H527" s="21" t="s">
        <v>243</v>
      </c>
      <c r="I527" s="23">
        <v>1</v>
      </c>
      <c r="J527" s="24">
        <v>2.83</v>
      </c>
      <c r="K527" s="32">
        <v>0.21000000000000002</v>
      </c>
      <c r="L527" s="24">
        <v>0.71</v>
      </c>
      <c r="M527" s="34"/>
      <c r="N527" s="34"/>
      <c r="O527" s="22" t="str">
        <f>IF(ISNA(VLOOKUP(Table_master_data[[#This Row],[Pick]],Table2[#All],2,FALSE)),"-",VLOOKUP(Table_master_data[[#This Row],[Pick]],Table2[#All],2,FALSE))</f>
        <v>-</v>
      </c>
      <c r="P527" s="22"/>
    </row>
    <row r="528" spans="2:16" x14ac:dyDescent="0.25">
      <c r="B528" s="21">
        <v>394</v>
      </c>
      <c r="C528" s="21" t="s">
        <v>445</v>
      </c>
      <c r="D528" s="21" t="s">
        <v>179</v>
      </c>
      <c r="E528" s="21" t="s">
        <v>180</v>
      </c>
      <c r="F528" s="25">
        <v>0</v>
      </c>
      <c r="G528" s="26">
        <v>4.5</v>
      </c>
      <c r="H528" s="21" t="s">
        <v>243</v>
      </c>
      <c r="I528" s="23">
        <v>1</v>
      </c>
      <c r="J528" s="24">
        <v>2.72</v>
      </c>
      <c r="K528" s="32">
        <v>0.24</v>
      </c>
      <c r="L528" s="24">
        <v>0.6</v>
      </c>
      <c r="M528" s="34"/>
      <c r="N528" s="34"/>
      <c r="O528" s="22" t="str">
        <f>IF(ISNA(VLOOKUP(Table_master_data[[#This Row],[Pick]],Table2[#All],2,FALSE)),"-",VLOOKUP(Table_master_data[[#This Row],[Pick]],Table2[#All],2,FALSE))</f>
        <v>-</v>
      </c>
      <c r="P528" s="22"/>
    </row>
    <row r="529" spans="2:16" x14ac:dyDescent="0.25">
      <c r="B529" s="21">
        <v>45</v>
      </c>
      <c r="C529" s="21" t="s">
        <v>388</v>
      </c>
      <c r="D529" s="21" t="s">
        <v>181</v>
      </c>
      <c r="E529" s="21" t="s">
        <v>191</v>
      </c>
      <c r="F529" s="25">
        <v>0</v>
      </c>
      <c r="G529" s="26">
        <v>4</v>
      </c>
      <c r="H529" s="21" t="s">
        <v>243</v>
      </c>
      <c r="I529" s="23">
        <v>1</v>
      </c>
      <c r="J529" s="24">
        <v>2.71</v>
      </c>
      <c r="K529" s="32">
        <v>0.22999999999999998</v>
      </c>
      <c r="L529" s="24">
        <v>0.68</v>
      </c>
      <c r="M529" s="34"/>
      <c r="N529" s="34"/>
      <c r="O529" s="22" t="str">
        <f>IF(ISNA(VLOOKUP(Table_master_data[[#This Row],[Pick]],Table2[#All],2,FALSE)),"-",VLOOKUP(Table_master_data[[#This Row],[Pick]],Table2[#All],2,FALSE))</f>
        <v>-</v>
      </c>
      <c r="P529" s="22"/>
    </row>
    <row r="530" spans="2:16" x14ac:dyDescent="0.25">
      <c r="B530" s="21">
        <v>529</v>
      </c>
      <c r="C530" s="21" t="s">
        <v>747</v>
      </c>
      <c r="D530" s="21" t="s">
        <v>258</v>
      </c>
      <c r="E530" s="21" t="s">
        <v>802</v>
      </c>
      <c r="F530" s="25">
        <v>0</v>
      </c>
      <c r="G530" s="26">
        <v>4</v>
      </c>
      <c r="H530" s="21" t="s">
        <v>243</v>
      </c>
      <c r="I530" s="23">
        <v>1</v>
      </c>
      <c r="J530" s="24">
        <v>2.71</v>
      </c>
      <c r="K530" s="32">
        <v>0.2</v>
      </c>
      <c r="L530" s="24">
        <v>0.68</v>
      </c>
      <c r="M530" s="34"/>
      <c r="N530" s="34"/>
      <c r="O530" s="22" t="str">
        <f>IF(ISNA(VLOOKUP(Table_master_data[[#This Row],[Pick]],Table2[#All],2,FALSE)),"-",VLOOKUP(Table_master_data[[#This Row],[Pick]],Table2[#All],2,FALSE))</f>
        <v>-</v>
      </c>
      <c r="P530" s="22"/>
    </row>
    <row r="531" spans="2:16" x14ac:dyDescent="0.25">
      <c r="B531" s="21">
        <v>188</v>
      </c>
      <c r="C531" s="21" t="s">
        <v>641</v>
      </c>
      <c r="D531" s="21" t="s">
        <v>181</v>
      </c>
      <c r="E531" s="21" t="s">
        <v>508</v>
      </c>
      <c r="F531" s="25">
        <v>0</v>
      </c>
      <c r="G531" s="26">
        <v>4</v>
      </c>
      <c r="H531" s="21" t="s">
        <v>243</v>
      </c>
      <c r="I531" s="23">
        <v>1</v>
      </c>
      <c r="J531" s="24">
        <v>2.67</v>
      </c>
      <c r="K531" s="32">
        <v>0.18</v>
      </c>
      <c r="L531" s="24">
        <v>0.67</v>
      </c>
      <c r="M531" s="34"/>
      <c r="N531" s="34"/>
      <c r="O531" s="22" t="str">
        <f>IF(ISNA(VLOOKUP(Table_master_data[[#This Row],[Pick]],Table2[#All],2,FALSE)),"-",VLOOKUP(Table_master_data[[#This Row],[Pick]],Table2[#All],2,FALSE))</f>
        <v>-</v>
      </c>
      <c r="P531" s="22"/>
    </row>
    <row r="532" spans="2:16" x14ac:dyDescent="0.25">
      <c r="B532" s="21">
        <v>117</v>
      </c>
      <c r="C532" s="21" t="s">
        <v>404</v>
      </c>
      <c r="D532" s="21" t="s">
        <v>181</v>
      </c>
      <c r="E532" s="21" t="s">
        <v>183</v>
      </c>
      <c r="F532" s="25">
        <v>3</v>
      </c>
      <c r="G532" s="26">
        <v>4</v>
      </c>
      <c r="H532" s="21" t="s">
        <v>243</v>
      </c>
      <c r="I532" s="23">
        <v>1</v>
      </c>
      <c r="J532" s="24">
        <v>2.66</v>
      </c>
      <c r="K532" s="32">
        <v>0.33</v>
      </c>
      <c r="L532" s="24">
        <v>0.66</v>
      </c>
      <c r="M532" s="34"/>
      <c r="N532" s="34"/>
      <c r="O532" s="22" t="str">
        <f>IF(ISNA(VLOOKUP(Table_master_data[[#This Row],[Pick]],Table2[#All],2,FALSE)),"-",VLOOKUP(Table_master_data[[#This Row],[Pick]],Table2[#All],2,FALSE))</f>
        <v>-</v>
      </c>
      <c r="P532" s="22"/>
    </row>
    <row r="533" spans="2:16" x14ac:dyDescent="0.25">
      <c r="B533" s="21">
        <v>629</v>
      </c>
      <c r="C533" s="21" t="s">
        <v>343</v>
      </c>
      <c r="D533" s="21" t="s">
        <v>258</v>
      </c>
      <c r="E533" s="21" t="s">
        <v>182</v>
      </c>
      <c r="F533" s="25">
        <v>9</v>
      </c>
      <c r="G533" s="26">
        <v>4</v>
      </c>
      <c r="H533" s="21" t="s">
        <v>243</v>
      </c>
      <c r="I533" s="23">
        <v>1</v>
      </c>
      <c r="J533" s="24">
        <v>2.5499999999999998</v>
      </c>
      <c r="K533" s="32">
        <v>0.08</v>
      </c>
      <c r="L533" s="24">
        <v>0.64</v>
      </c>
      <c r="M533" s="34"/>
      <c r="N533" s="34"/>
      <c r="O533" s="22" t="str">
        <f>IF(ISNA(VLOOKUP(Table_master_data[[#This Row],[Pick]],Table2[#All],2,FALSE)),"-",VLOOKUP(Table_master_data[[#This Row],[Pick]],Table2[#All],2,FALSE))</f>
        <v>-</v>
      </c>
      <c r="P533" s="22"/>
    </row>
    <row r="534" spans="2:16" x14ac:dyDescent="0.25">
      <c r="B534" s="21">
        <v>118</v>
      </c>
      <c r="C534" s="21" t="s">
        <v>648</v>
      </c>
      <c r="D534" s="21" t="s">
        <v>181</v>
      </c>
      <c r="E534" s="21" t="s">
        <v>183</v>
      </c>
      <c r="F534" s="25">
        <v>1</v>
      </c>
      <c r="G534" s="26">
        <v>4</v>
      </c>
      <c r="H534" s="21" t="s">
        <v>243</v>
      </c>
      <c r="I534" s="23">
        <v>1</v>
      </c>
      <c r="J534" s="24">
        <v>2.54</v>
      </c>
      <c r="K534" s="32">
        <v>0.2</v>
      </c>
      <c r="L534" s="24">
        <v>0.63</v>
      </c>
      <c r="M534" s="34"/>
      <c r="N534" s="34"/>
      <c r="O534" s="22" t="str">
        <f>IF(ISNA(VLOOKUP(Table_master_data[[#This Row],[Pick]],Table2[#All],2,FALSE)),"-",VLOOKUP(Table_master_data[[#This Row],[Pick]],Table2[#All],2,FALSE))</f>
        <v>-</v>
      </c>
      <c r="P534" s="22"/>
    </row>
    <row r="535" spans="2:16" x14ac:dyDescent="0.25">
      <c r="B535" s="21">
        <v>46</v>
      </c>
      <c r="C535" s="21" t="s">
        <v>587</v>
      </c>
      <c r="D535" s="21" t="s">
        <v>181</v>
      </c>
      <c r="E535" s="21" t="s">
        <v>191</v>
      </c>
      <c r="F535" s="25">
        <v>0</v>
      </c>
      <c r="G535" s="26">
        <v>4</v>
      </c>
      <c r="H535" s="21" t="s">
        <v>243</v>
      </c>
      <c r="I535" s="23">
        <v>1</v>
      </c>
      <c r="J535" s="24">
        <v>2.4900000000000002</v>
      </c>
      <c r="K535" s="32">
        <v>0.21000000000000002</v>
      </c>
      <c r="L535" s="24">
        <v>0.62</v>
      </c>
      <c r="M535" s="34"/>
      <c r="N535" s="34"/>
      <c r="O535" s="22" t="str">
        <f>IF(ISNA(VLOOKUP(Table_master_data[[#This Row],[Pick]],Table2[#All],2,FALSE)),"-",VLOOKUP(Table_master_data[[#This Row],[Pick]],Table2[#All],2,FALSE))</f>
        <v>-</v>
      </c>
      <c r="P535" s="22"/>
    </row>
    <row r="536" spans="2:16" x14ac:dyDescent="0.25">
      <c r="B536" s="21">
        <v>429</v>
      </c>
      <c r="C536" s="21" t="s">
        <v>122</v>
      </c>
      <c r="D536" s="21" t="s">
        <v>179</v>
      </c>
      <c r="E536" s="21" t="s">
        <v>184</v>
      </c>
      <c r="F536" s="25">
        <v>27</v>
      </c>
      <c r="G536" s="26">
        <v>5</v>
      </c>
      <c r="H536" s="21" t="s">
        <v>243</v>
      </c>
      <c r="I536" s="23">
        <v>1</v>
      </c>
      <c r="J536" s="24">
        <v>2.02</v>
      </c>
      <c r="K536" s="32">
        <v>0.27</v>
      </c>
      <c r="L536" s="24">
        <v>0.4</v>
      </c>
      <c r="M536" s="34"/>
      <c r="N536" s="34"/>
      <c r="O536" s="22" t="str">
        <f>IF(ISNA(VLOOKUP(Table_master_data[[#This Row],[Pick]],Table2[#All],2,FALSE)),"-",VLOOKUP(Table_master_data[[#This Row],[Pick]],Table2[#All],2,FALSE))</f>
        <v>-</v>
      </c>
      <c r="P536" s="22"/>
    </row>
    <row r="537" spans="2:16" x14ac:dyDescent="0.25">
      <c r="B537" s="21">
        <v>255</v>
      </c>
      <c r="C537" s="21" t="s">
        <v>174</v>
      </c>
      <c r="D537" s="21" t="s">
        <v>258</v>
      </c>
      <c r="E537" s="21" t="s">
        <v>188</v>
      </c>
      <c r="F537" s="25">
        <v>0</v>
      </c>
      <c r="G537" s="26">
        <v>4</v>
      </c>
      <c r="H537" s="21" t="s">
        <v>243</v>
      </c>
      <c r="I537" s="23">
        <v>1</v>
      </c>
      <c r="J537" s="24">
        <v>1.74</v>
      </c>
      <c r="K537" s="32">
        <v>0.06</v>
      </c>
      <c r="L537" s="24">
        <v>0.44</v>
      </c>
      <c r="M537" s="34"/>
      <c r="N537" s="34"/>
      <c r="O537" s="22" t="str">
        <f>IF(ISNA(VLOOKUP(Table_master_data[[#This Row],[Pick]],Table2[#All],2,FALSE)),"-",VLOOKUP(Table_master_data[[#This Row],[Pick]],Table2[#All],2,FALSE))</f>
        <v>-</v>
      </c>
      <c r="P537" s="22"/>
    </row>
    <row r="538" spans="2:16" x14ac:dyDescent="0.25">
      <c r="B538" s="21">
        <v>630</v>
      </c>
      <c r="C538" s="21" t="s">
        <v>344</v>
      </c>
      <c r="D538" s="21" t="s">
        <v>258</v>
      </c>
      <c r="E538" s="21" t="s">
        <v>182</v>
      </c>
      <c r="F538" s="25">
        <v>1</v>
      </c>
      <c r="G538" s="26">
        <v>4</v>
      </c>
      <c r="H538" s="21" t="s">
        <v>243</v>
      </c>
      <c r="I538" s="23">
        <v>1</v>
      </c>
      <c r="J538" s="24">
        <v>1.7</v>
      </c>
      <c r="K538" s="32">
        <v>0.05</v>
      </c>
      <c r="L538" s="24">
        <v>0.43</v>
      </c>
      <c r="M538" s="34"/>
      <c r="N538" s="34"/>
      <c r="O538" s="22" t="str">
        <f>IF(ISNA(VLOOKUP(Table_master_data[[#This Row],[Pick]],Table2[#All],2,FALSE)),"-",VLOOKUP(Table_master_data[[#This Row],[Pick]],Table2[#All],2,FALSE))</f>
        <v>-</v>
      </c>
      <c r="P538" s="22"/>
    </row>
    <row r="539" spans="2:16" x14ac:dyDescent="0.25">
      <c r="B539" s="21">
        <v>530</v>
      </c>
      <c r="C539" s="21" t="s">
        <v>768</v>
      </c>
      <c r="D539" s="21" t="s">
        <v>258</v>
      </c>
      <c r="E539" s="21" t="s">
        <v>802</v>
      </c>
      <c r="F539" s="25">
        <v>0</v>
      </c>
      <c r="G539" s="26">
        <v>4</v>
      </c>
      <c r="H539" s="21" t="s">
        <v>243</v>
      </c>
      <c r="I539" s="23">
        <v>1</v>
      </c>
      <c r="J539" s="24">
        <v>1.57</v>
      </c>
      <c r="K539" s="32">
        <v>0.06</v>
      </c>
      <c r="L539" s="24">
        <v>0.39</v>
      </c>
      <c r="M539" s="34"/>
      <c r="N539" s="34"/>
      <c r="O539" s="22" t="str">
        <f>IF(ISNA(VLOOKUP(Table_master_data[[#This Row],[Pick]],Table2[#All],2,FALSE)),"-",VLOOKUP(Table_master_data[[#This Row],[Pick]],Table2[#All],2,FALSE))</f>
        <v>-</v>
      </c>
      <c r="P539" s="22"/>
    </row>
    <row r="540" spans="2:16" x14ac:dyDescent="0.25">
      <c r="B540" s="21">
        <v>340</v>
      </c>
      <c r="C540" s="21" t="s">
        <v>675</v>
      </c>
      <c r="D540" s="21" t="s">
        <v>258</v>
      </c>
      <c r="E540" s="21" t="s">
        <v>815</v>
      </c>
      <c r="F540" s="25">
        <v>0</v>
      </c>
      <c r="G540" s="26">
        <v>4</v>
      </c>
      <c r="H540" s="21" t="s">
        <v>243</v>
      </c>
      <c r="I540" s="23">
        <v>1</v>
      </c>
      <c r="J540" s="24">
        <v>1.18</v>
      </c>
      <c r="K540" s="32">
        <v>0.15</v>
      </c>
      <c r="L540" s="24">
        <v>0.3</v>
      </c>
      <c r="M540" s="34"/>
      <c r="N540" s="34"/>
      <c r="O540" s="22" t="str">
        <f>IF(ISNA(VLOOKUP(Table_master_data[[#This Row],[Pick]],Table2[#All],2,FALSE)),"-",VLOOKUP(Table_master_data[[#This Row],[Pick]],Table2[#All],2,FALSE))</f>
        <v>-</v>
      </c>
      <c r="P540" s="22"/>
    </row>
    <row r="541" spans="2:16" x14ac:dyDescent="0.25">
      <c r="B541" s="21">
        <v>566</v>
      </c>
      <c r="C541" s="21" t="s">
        <v>175</v>
      </c>
      <c r="D541" s="21" t="s">
        <v>258</v>
      </c>
      <c r="E541" s="21" t="s">
        <v>192</v>
      </c>
      <c r="F541" s="25">
        <v>1</v>
      </c>
      <c r="G541" s="26">
        <v>4</v>
      </c>
      <c r="H541" s="21" t="s">
        <v>243</v>
      </c>
      <c r="I541" s="23">
        <v>1</v>
      </c>
      <c r="J541" s="24">
        <v>0.89</v>
      </c>
      <c r="K541" s="32">
        <v>0.03</v>
      </c>
      <c r="L541" s="24">
        <v>0.22</v>
      </c>
      <c r="M541" s="34"/>
      <c r="N541" s="34"/>
      <c r="O541" s="22" t="str">
        <f>IF(ISNA(VLOOKUP(Table_master_data[[#This Row],[Pick]],Table2[#All],2,FALSE)),"-",VLOOKUP(Table_master_data[[#This Row],[Pick]],Table2[#All],2,FALSE))</f>
        <v>-</v>
      </c>
      <c r="P541" s="22"/>
    </row>
    <row r="542" spans="2:16" x14ac:dyDescent="0.25">
      <c r="B542" s="21">
        <v>602</v>
      </c>
      <c r="C542" s="21" t="s">
        <v>791</v>
      </c>
      <c r="D542" s="21" t="s">
        <v>258</v>
      </c>
      <c r="E542" s="21" t="s">
        <v>372</v>
      </c>
      <c r="F542" s="25">
        <v>0</v>
      </c>
      <c r="G542" s="26">
        <v>4</v>
      </c>
      <c r="H542" s="21" t="s">
        <v>243</v>
      </c>
      <c r="I542" s="23">
        <v>1</v>
      </c>
      <c r="J542" s="24">
        <v>0.85</v>
      </c>
      <c r="K542" s="32">
        <v>0.03</v>
      </c>
      <c r="L542" s="24">
        <v>0.21</v>
      </c>
      <c r="M542" s="34"/>
      <c r="N542" s="34"/>
      <c r="O542" s="22" t="str">
        <f>IF(ISNA(VLOOKUP(Table_master_data[[#This Row],[Pick]],Table2[#All],2,FALSE)),"-",VLOOKUP(Table_master_data[[#This Row],[Pick]],Table2[#All],2,FALSE))</f>
        <v>-</v>
      </c>
      <c r="P542" s="22"/>
    </row>
    <row r="543" spans="2:16" x14ac:dyDescent="0.25">
      <c r="B543" s="21">
        <v>434</v>
      </c>
      <c r="C543" s="21" t="s">
        <v>161</v>
      </c>
      <c r="D543" s="21" t="s">
        <v>258</v>
      </c>
      <c r="E543" s="21" t="s">
        <v>193</v>
      </c>
      <c r="F543" s="25">
        <v>0</v>
      </c>
      <c r="G543" s="26">
        <v>4</v>
      </c>
      <c r="H543" s="21" t="s">
        <v>243</v>
      </c>
      <c r="I543" s="23">
        <v>1</v>
      </c>
      <c r="J543" s="24">
        <v>0.6</v>
      </c>
      <c r="K543" s="32">
        <v>0</v>
      </c>
      <c r="L543" s="24">
        <v>0.15</v>
      </c>
      <c r="M543" s="34"/>
      <c r="N543" s="34"/>
      <c r="O543" s="22" t="str">
        <f>IF(ISNA(VLOOKUP(Table_master_data[[#This Row],[Pick]],Table2[#All],2,FALSE)),"-",VLOOKUP(Table_master_data[[#This Row],[Pick]],Table2[#All],2,FALSE))</f>
        <v>-</v>
      </c>
      <c r="P543" s="22"/>
    </row>
    <row r="544" spans="2:16" x14ac:dyDescent="0.25">
      <c r="B544" s="21">
        <v>481</v>
      </c>
      <c r="C544" s="21" t="s">
        <v>454</v>
      </c>
      <c r="D544" s="21" t="s">
        <v>181</v>
      </c>
      <c r="E544" s="21" t="s">
        <v>186</v>
      </c>
      <c r="F544" s="25">
        <v>0</v>
      </c>
      <c r="G544" s="26">
        <v>4</v>
      </c>
      <c r="H544" s="21" t="s">
        <v>243</v>
      </c>
      <c r="I544" s="23">
        <v>1</v>
      </c>
      <c r="J544" s="24">
        <v>0</v>
      </c>
      <c r="K544" s="32">
        <v>0</v>
      </c>
      <c r="L544" s="24">
        <v>0</v>
      </c>
      <c r="M544" s="34"/>
      <c r="N544" s="34"/>
      <c r="O544" s="22" t="str">
        <f>IF(ISNA(VLOOKUP(Table_master_data[[#This Row],[Pick]],Table2[#All],2,FALSE)),"-",VLOOKUP(Table_master_data[[#This Row],[Pick]],Table2[#All],2,FALSE))</f>
        <v>-</v>
      </c>
      <c r="P544" s="22"/>
    </row>
    <row r="545" spans="2:16" x14ac:dyDescent="0.25">
      <c r="B545" s="21">
        <v>513</v>
      </c>
      <c r="C545" s="21" t="s">
        <v>732</v>
      </c>
      <c r="D545" s="21" t="s">
        <v>181</v>
      </c>
      <c r="E545" s="21" t="s">
        <v>374</v>
      </c>
      <c r="F545" s="25">
        <v>0</v>
      </c>
      <c r="G545" s="26">
        <v>4</v>
      </c>
      <c r="H545" s="21" t="s">
        <v>243</v>
      </c>
      <c r="I545" s="23">
        <v>1</v>
      </c>
      <c r="J545" s="24">
        <v>0</v>
      </c>
      <c r="K545" s="32">
        <v>0</v>
      </c>
      <c r="L545" s="24">
        <v>0</v>
      </c>
      <c r="M545" s="34"/>
      <c r="N545" s="34"/>
      <c r="O545" s="22" t="str">
        <f>IF(ISNA(VLOOKUP(Table_master_data[[#This Row],[Pick]],Table2[#All],2,FALSE)),"-",VLOOKUP(Table_master_data[[#This Row],[Pick]],Table2[#All],2,FALSE))</f>
        <v>-</v>
      </c>
      <c r="P545" s="22"/>
    </row>
    <row r="546" spans="2:16" x14ac:dyDescent="0.25">
      <c r="B546" s="21">
        <v>43</v>
      </c>
      <c r="C546" s="21" t="s">
        <v>282</v>
      </c>
      <c r="D546" s="21" t="s">
        <v>181</v>
      </c>
      <c r="E546" s="21" t="s">
        <v>191</v>
      </c>
      <c r="F546" s="25">
        <v>34</v>
      </c>
      <c r="G546" s="26">
        <v>4</v>
      </c>
      <c r="H546" s="21" t="s">
        <v>243</v>
      </c>
      <c r="I546" s="23">
        <v>1</v>
      </c>
      <c r="J546" s="24">
        <v>0</v>
      </c>
      <c r="K546" s="32">
        <v>0</v>
      </c>
      <c r="L546" s="24">
        <v>0</v>
      </c>
      <c r="M546" s="34"/>
      <c r="N546" s="34"/>
      <c r="O546" s="22" t="str">
        <f>IF(ISNA(VLOOKUP(Table_master_data[[#This Row],[Pick]],Table2[#All],2,FALSE)),"-",VLOOKUP(Table_master_data[[#This Row],[Pick]],Table2[#All],2,FALSE))</f>
        <v>-</v>
      </c>
      <c r="P546" s="22"/>
    </row>
    <row r="547" spans="2:16" x14ac:dyDescent="0.25">
      <c r="B547" s="21">
        <v>445</v>
      </c>
      <c r="C547" s="21" t="s">
        <v>714</v>
      </c>
      <c r="D547" s="21" t="s">
        <v>181</v>
      </c>
      <c r="E547" s="21" t="s">
        <v>193</v>
      </c>
      <c r="F547" s="25">
        <v>4</v>
      </c>
      <c r="G547" s="26">
        <v>4</v>
      </c>
      <c r="H547" s="21" t="s">
        <v>243</v>
      </c>
      <c r="I547" s="23">
        <v>1</v>
      </c>
      <c r="J547" s="24">
        <v>0</v>
      </c>
      <c r="K547" s="32">
        <v>0</v>
      </c>
      <c r="L547" s="24">
        <v>0</v>
      </c>
      <c r="M547" s="34"/>
      <c r="N547" s="34"/>
      <c r="O547" s="22" t="str">
        <f>IF(ISNA(VLOOKUP(Table_master_data[[#This Row],[Pick]],Table2[#All],2,FALSE)),"-",VLOOKUP(Table_master_data[[#This Row],[Pick]],Table2[#All],2,FALSE))</f>
        <v>-</v>
      </c>
      <c r="P547" s="22"/>
    </row>
    <row r="548" spans="2:16" x14ac:dyDescent="0.25">
      <c r="B548" s="21">
        <v>534</v>
      </c>
      <c r="C548" s="21" t="s">
        <v>333</v>
      </c>
      <c r="D548" s="21" t="s">
        <v>181</v>
      </c>
      <c r="E548" s="21" t="s">
        <v>802</v>
      </c>
      <c r="F548" s="25">
        <v>0</v>
      </c>
      <c r="G548" s="26">
        <v>4</v>
      </c>
      <c r="H548" s="21" t="s">
        <v>243</v>
      </c>
      <c r="I548" s="23">
        <v>1</v>
      </c>
      <c r="J548" s="24">
        <v>0</v>
      </c>
      <c r="K548" s="32">
        <v>0</v>
      </c>
      <c r="L548" s="24">
        <v>0</v>
      </c>
      <c r="M548" s="34"/>
      <c r="N548" s="34"/>
      <c r="O548" s="22" t="str">
        <f>IF(ISNA(VLOOKUP(Table_master_data[[#This Row],[Pick]],Table2[#All],2,FALSE)),"-",VLOOKUP(Table_master_data[[#This Row],[Pick]],Table2[#All],2,FALSE))</f>
        <v>-</v>
      </c>
      <c r="P548" s="22"/>
    </row>
    <row r="549" spans="2:16" x14ac:dyDescent="0.25">
      <c r="B549" s="21">
        <v>234</v>
      </c>
      <c r="C549" s="21" t="s">
        <v>553</v>
      </c>
      <c r="D549" s="21" t="s">
        <v>181</v>
      </c>
      <c r="E549" s="21" t="s">
        <v>187</v>
      </c>
      <c r="F549" s="25">
        <v>0</v>
      </c>
      <c r="G549" s="26">
        <v>4</v>
      </c>
      <c r="H549" s="21" t="s">
        <v>243</v>
      </c>
      <c r="I549" s="23">
        <v>1</v>
      </c>
      <c r="J549" s="24">
        <v>0</v>
      </c>
      <c r="K549" s="32">
        <v>0</v>
      </c>
      <c r="L549" s="24">
        <v>0</v>
      </c>
      <c r="M549" s="34"/>
      <c r="N549" s="34"/>
      <c r="O549" s="22" t="str">
        <f>IF(ISNA(VLOOKUP(Table_master_data[[#This Row],[Pick]],Table2[#All],2,FALSE)),"-",VLOOKUP(Table_master_data[[#This Row],[Pick]],Table2[#All],2,FALSE))</f>
        <v>-</v>
      </c>
      <c r="P549" s="22"/>
    </row>
    <row r="550" spans="2:16" x14ac:dyDescent="0.25">
      <c r="B550" s="21">
        <v>114</v>
      </c>
      <c r="C550" s="21" t="s">
        <v>647</v>
      </c>
      <c r="D550" s="21" t="s">
        <v>181</v>
      </c>
      <c r="E550" s="21" t="s">
        <v>183</v>
      </c>
      <c r="F550" s="25">
        <v>0</v>
      </c>
      <c r="G550" s="26">
        <v>4</v>
      </c>
      <c r="H550" s="21" t="s">
        <v>243</v>
      </c>
      <c r="I550" s="23">
        <v>1</v>
      </c>
      <c r="J550" s="24">
        <v>0</v>
      </c>
      <c r="K550" s="32">
        <v>0</v>
      </c>
      <c r="L550" s="24">
        <v>0</v>
      </c>
      <c r="M550" s="34"/>
      <c r="N550" s="34"/>
      <c r="O550" s="22" t="str">
        <f>IF(ISNA(VLOOKUP(Table_master_data[[#This Row],[Pick]],Table2[#All],2,FALSE)),"-",VLOOKUP(Table_master_data[[#This Row],[Pick]],Table2[#All],2,FALSE))</f>
        <v>-</v>
      </c>
      <c r="P550" s="22"/>
    </row>
    <row r="551" spans="2:16" x14ac:dyDescent="0.25">
      <c r="B551" s="21">
        <v>482</v>
      </c>
      <c r="C551" s="21" t="s">
        <v>727</v>
      </c>
      <c r="D551" s="21" t="s">
        <v>181</v>
      </c>
      <c r="E551" s="21" t="s">
        <v>186</v>
      </c>
      <c r="F551" s="25">
        <v>0</v>
      </c>
      <c r="G551" s="26">
        <v>4</v>
      </c>
      <c r="H551" s="21" t="s">
        <v>243</v>
      </c>
      <c r="I551" s="23">
        <v>1</v>
      </c>
      <c r="J551" s="24">
        <v>0</v>
      </c>
      <c r="K551" s="32">
        <v>0</v>
      </c>
      <c r="L551" s="24">
        <v>0</v>
      </c>
      <c r="M551" s="34"/>
      <c r="N551" s="34"/>
      <c r="O551" s="22" t="str">
        <f>IF(ISNA(VLOOKUP(Table_master_data[[#This Row],[Pick]],Table2[#All],2,FALSE)),"-",VLOOKUP(Table_master_data[[#This Row],[Pick]],Table2[#All],2,FALSE))</f>
        <v>-</v>
      </c>
      <c r="P551" s="22"/>
    </row>
    <row r="552" spans="2:16" x14ac:dyDescent="0.25">
      <c r="B552" s="21">
        <v>611</v>
      </c>
      <c r="C552" s="21" t="s">
        <v>786</v>
      </c>
      <c r="D552" s="21" t="s">
        <v>181</v>
      </c>
      <c r="E552" s="21" t="s">
        <v>372</v>
      </c>
      <c r="F552" s="25">
        <v>1</v>
      </c>
      <c r="G552" s="26">
        <v>4</v>
      </c>
      <c r="H552" s="21" t="s">
        <v>245</v>
      </c>
      <c r="I552" s="23">
        <v>0</v>
      </c>
      <c r="J552" s="24">
        <v>0</v>
      </c>
      <c r="K552" s="32">
        <v>0</v>
      </c>
      <c r="L552" s="24">
        <v>0</v>
      </c>
      <c r="M552" s="34"/>
      <c r="N552" s="34"/>
      <c r="O552" s="22" t="str">
        <f>IF(ISNA(VLOOKUP(Table_master_data[[#This Row],[Pick]],Table2[#All],2,FALSE)),"-",VLOOKUP(Table_master_data[[#This Row],[Pick]],Table2[#All],2,FALSE))</f>
        <v>-</v>
      </c>
      <c r="P552" s="22"/>
    </row>
    <row r="553" spans="2:16" x14ac:dyDescent="0.25">
      <c r="B553" s="21">
        <v>154</v>
      </c>
      <c r="C553" s="21" t="s">
        <v>618</v>
      </c>
      <c r="D553" s="21" t="s">
        <v>181</v>
      </c>
      <c r="E553" s="21" t="s">
        <v>373</v>
      </c>
      <c r="F553" s="25">
        <v>1</v>
      </c>
      <c r="G553" s="26">
        <v>4</v>
      </c>
      <c r="H553" s="21" t="s">
        <v>245</v>
      </c>
      <c r="I553" s="23">
        <v>0</v>
      </c>
      <c r="J553" s="24">
        <v>0</v>
      </c>
      <c r="K553" s="32">
        <v>0</v>
      </c>
      <c r="L553" s="24">
        <v>0</v>
      </c>
      <c r="M553" s="34"/>
      <c r="N553" s="34"/>
      <c r="O553" s="22" t="str">
        <f>IF(ISNA(VLOOKUP(Table_master_data[[#This Row],[Pick]],Table2[#All],2,FALSE)),"-",VLOOKUP(Table_master_data[[#This Row],[Pick]],Table2[#All],2,FALSE))</f>
        <v>-</v>
      </c>
      <c r="P553" s="22"/>
    </row>
    <row r="554" spans="2:16" x14ac:dyDescent="0.25">
      <c r="B554" s="21">
        <v>262</v>
      </c>
      <c r="C554" s="21" t="s">
        <v>420</v>
      </c>
      <c r="D554" s="21" t="s">
        <v>181</v>
      </c>
      <c r="E554" s="21" t="s">
        <v>188</v>
      </c>
      <c r="F554" s="25">
        <v>1</v>
      </c>
      <c r="G554" s="26">
        <v>4</v>
      </c>
      <c r="H554" s="21" t="s">
        <v>251</v>
      </c>
      <c r="I554" s="23">
        <v>0</v>
      </c>
      <c r="J554" s="24">
        <v>0</v>
      </c>
      <c r="K554" s="32">
        <v>0</v>
      </c>
      <c r="L554" s="24">
        <v>0</v>
      </c>
      <c r="M554" s="34"/>
      <c r="N554" s="34"/>
      <c r="O554" s="22" t="str">
        <f>IF(ISNA(VLOOKUP(Table_master_data[[#This Row],[Pick]],Table2[#All],2,FALSE)),"-",VLOOKUP(Table_master_data[[#This Row],[Pick]],Table2[#All],2,FALSE))</f>
        <v>-</v>
      </c>
      <c r="P554" s="22"/>
    </row>
    <row r="555" spans="2:16" x14ac:dyDescent="0.25">
      <c r="B555" s="21">
        <v>13</v>
      </c>
      <c r="C555" s="21" t="s">
        <v>433</v>
      </c>
      <c r="D555" s="21" t="s">
        <v>181</v>
      </c>
      <c r="E555" s="21" t="s">
        <v>194</v>
      </c>
      <c r="F555" s="25">
        <v>0</v>
      </c>
      <c r="G555" s="26">
        <v>4</v>
      </c>
      <c r="H555" s="21" t="s">
        <v>243</v>
      </c>
      <c r="I555" s="23">
        <v>1</v>
      </c>
      <c r="J555" s="24">
        <v>0</v>
      </c>
      <c r="K555" s="32">
        <v>0</v>
      </c>
      <c r="L555" s="24">
        <v>0</v>
      </c>
      <c r="M555" s="34"/>
      <c r="N555" s="34"/>
      <c r="O555" s="22" t="str">
        <f>IF(ISNA(VLOOKUP(Table_master_data[[#This Row],[Pick]],Table2[#All],2,FALSE)),"-",VLOOKUP(Table_master_data[[#This Row],[Pick]],Table2[#All],2,FALSE))</f>
        <v>-</v>
      </c>
      <c r="P555" s="22"/>
    </row>
    <row r="556" spans="2:16" x14ac:dyDescent="0.25">
      <c r="B556" s="21">
        <v>227</v>
      </c>
      <c r="C556" s="21" t="s">
        <v>318</v>
      </c>
      <c r="D556" s="21" t="s">
        <v>181</v>
      </c>
      <c r="E556" s="21" t="s">
        <v>187</v>
      </c>
      <c r="F556" s="25">
        <v>109</v>
      </c>
      <c r="G556" s="26">
        <v>5</v>
      </c>
      <c r="H556" s="21" t="s">
        <v>251</v>
      </c>
      <c r="I556" s="23">
        <v>0</v>
      </c>
      <c r="J556" s="24">
        <v>0</v>
      </c>
      <c r="K556" s="32">
        <v>0</v>
      </c>
      <c r="L556" s="24">
        <v>0</v>
      </c>
      <c r="M556" s="34">
        <v>10</v>
      </c>
      <c r="N556" s="34"/>
      <c r="O556" s="22" t="str">
        <f>IF(ISNA(VLOOKUP(Table_master_data[[#This Row],[Pick]],Table2[#All],2,FALSE)),"-",VLOOKUP(Table_master_data[[#This Row],[Pick]],Table2[#All],2,FALSE))</f>
        <v>Solid DEF</v>
      </c>
      <c r="P556" s="22"/>
    </row>
    <row r="557" spans="2:16" x14ac:dyDescent="0.25">
      <c r="B557" s="21">
        <v>509</v>
      </c>
      <c r="C557" s="21" t="s">
        <v>733</v>
      </c>
      <c r="D557" s="21" t="s">
        <v>181</v>
      </c>
      <c r="E557" s="21" t="s">
        <v>374</v>
      </c>
      <c r="F557" s="25">
        <v>0</v>
      </c>
      <c r="G557" s="26">
        <v>4.5</v>
      </c>
      <c r="H557" s="21" t="s">
        <v>243</v>
      </c>
      <c r="I557" s="23">
        <v>1</v>
      </c>
      <c r="J557" s="24">
        <v>0</v>
      </c>
      <c r="K557" s="32">
        <v>0</v>
      </c>
      <c r="L557" s="24">
        <v>0</v>
      </c>
      <c r="M557" s="34"/>
      <c r="N557" s="34"/>
      <c r="O557" s="22" t="str">
        <f>IF(ISNA(VLOOKUP(Table_master_data[[#This Row],[Pick]],Table2[#All],2,FALSE)),"-",VLOOKUP(Table_master_data[[#This Row],[Pick]],Table2[#All],2,FALSE))</f>
        <v>-</v>
      </c>
      <c r="P557" s="22"/>
    </row>
    <row r="558" spans="2:16" x14ac:dyDescent="0.25">
      <c r="B558" s="21">
        <v>189</v>
      </c>
      <c r="C558" s="21" t="s">
        <v>640</v>
      </c>
      <c r="D558" s="21" t="s">
        <v>181</v>
      </c>
      <c r="E558" s="21" t="s">
        <v>508</v>
      </c>
      <c r="F558" s="25">
        <v>0</v>
      </c>
      <c r="G558" s="26">
        <v>4</v>
      </c>
      <c r="H558" s="21" t="s">
        <v>245</v>
      </c>
      <c r="I558" s="23">
        <v>0</v>
      </c>
      <c r="J558" s="24">
        <v>0</v>
      </c>
      <c r="K558" s="32">
        <v>0</v>
      </c>
      <c r="L558" s="24">
        <v>0</v>
      </c>
      <c r="M558" s="34"/>
      <c r="N558" s="34"/>
      <c r="O558" s="22" t="str">
        <f>IF(ISNA(VLOOKUP(Table_master_data[[#This Row],[Pick]],Table2[#All],2,FALSE)),"-",VLOOKUP(Table_master_data[[#This Row],[Pick]],Table2[#All],2,FALSE))</f>
        <v>-</v>
      </c>
      <c r="P558" s="22"/>
    </row>
    <row r="559" spans="2:16" x14ac:dyDescent="0.25">
      <c r="B559" s="21">
        <v>147</v>
      </c>
      <c r="C559" s="21" t="s">
        <v>565</v>
      </c>
      <c r="D559" s="21" t="s">
        <v>181</v>
      </c>
      <c r="E559" s="21" t="s">
        <v>373</v>
      </c>
      <c r="F559" s="25">
        <v>63</v>
      </c>
      <c r="G559" s="26">
        <v>4.5</v>
      </c>
      <c r="H559" s="21" t="s">
        <v>245</v>
      </c>
      <c r="I559" s="23">
        <v>0</v>
      </c>
      <c r="J559" s="24">
        <v>0</v>
      </c>
      <c r="K559" s="32">
        <v>0</v>
      </c>
      <c r="L559" s="24">
        <v>0</v>
      </c>
      <c r="M559" s="34"/>
      <c r="N559" s="34"/>
      <c r="O559" s="22" t="str">
        <f>IF(ISNA(VLOOKUP(Table_master_data[[#This Row],[Pick]],Table2[#All],2,FALSE)),"-",VLOOKUP(Table_master_data[[#This Row],[Pick]],Table2[#All],2,FALSE))</f>
        <v>-</v>
      </c>
      <c r="P559" s="22"/>
    </row>
    <row r="560" spans="2:16" x14ac:dyDescent="0.25">
      <c r="B560" s="21">
        <v>115</v>
      </c>
      <c r="C560" s="21" t="s">
        <v>522</v>
      </c>
      <c r="D560" s="21" t="s">
        <v>181</v>
      </c>
      <c r="E560" s="21" t="s">
        <v>183</v>
      </c>
      <c r="F560" s="25">
        <v>0</v>
      </c>
      <c r="G560" s="26">
        <v>4</v>
      </c>
      <c r="H560" s="21" t="s">
        <v>243</v>
      </c>
      <c r="I560" s="23">
        <v>1</v>
      </c>
      <c r="J560" s="24">
        <v>0</v>
      </c>
      <c r="K560" s="32">
        <v>0</v>
      </c>
      <c r="L560" s="24">
        <v>0</v>
      </c>
      <c r="M560" s="34"/>
      <c r="N560" s="34"/>
      <c r="O560" s="22" t="str">
        <f>IF(ISNA(VLOOKUP(Table_master_data[[#This Row],[Pick]],Table2[#All],2,FALSE)),"-",VLOOKUP(Table_master_data[[#This Row],[Pick]],Table2[#All],2,FALSE))</f>
        <v>-</v>
      </c>
      <c r="P560" s="22"/>
    </row>
    <row r="561" spans="2:16" x14ac:dyDescent="0.25">
      <c r="B561" s="21">
        <v>264</v>
      </c>
      <c r="C561" s="21" t="s">
        <v>173</v>
      </c>
      <c r="D561" s="21" t="s">
        <v>181</v>
      </c>
      <c r="E561" s="21" t="s">
        <v>188</v>
      </c>
      <c r="F561" s="25">
        <v>0</v>
      </c>
      <c r="G561" s="26">
        <v>4</v>
      </c>
      <c r="H561" s="21" t="s">
        <v>245</v>
      </c>
      <c r="I561" s="23">
        <v>0</v>
      </c>
      <c r="J561" s="24">
        <v>0</v>
      </c>
      <c r="K561" s="32">
        <v>0</v>
      </c>
      <c r="L561" s="24">
        <v>0</v>
      </c>
      <c r="M561" s="34"/>
      <c r="N561" s="34"/>
      <c r="O561" s="22" t="str">
        <f>IF(ISNA(VLOOKUP(Table_master_data[[#This Row],[Pick]],Table2[#All],2,FALSE)),"-",VLOOKUP(Table_master_data[[#This Row],[Pick]],Table2[#All],2,FALSE))</f>
        <v>-</v>
      </c>
      <c r="P561" s="22"/>
    </row>
    <row r="562" spans="2:16" x14ac:dyDescent="0.25">
      <c r="B562" s="21">
        <v>538</v>
      </c>
      <c r="C562" s="21" t="s">
        <v>38</v>
      </c>
      <c r="D562" s="21" t="s">
        <v>181</v>
      </c>
      <c r="E562" s="21" t="s">
        <v>802</v>
      </c>
      <c r="F562" s="25">
        <v>0</v>
      </c>
      <c r="G562" s="26">
        <v>4</v>
      </c>
      <c r="H562" s="21" t="s">
        <v>243</v>
      </c>
      <c r="I562" s="23">
        <v>1</v>
      </c>
      <c r="J562" s="24">
        <v>0</v>
      </c>
      <c r="K562" s="32">
        <v>0</v>
      </c>
      <c r="L562" s="24">
        <v>0</v>
      </c>
      <c r="M562" s="34"/>
      <c r="N562" s="34"/>
      <c r="O562" s="22" t="str">
        <f>IF(ISNA(VLOOKUP(Table_master_data[[#This Row],[Pick]],Table2[#All],2,FALSE)),"-",VLOOKUP(Table_master_data[[#This Row],[Pick]],Table2[#All],2,FALSE))</f>
        <v>-</v>
      </c>
      <c r="P562" s="22"/>
    </row>
    <row r="563" spans="2:16" x14ac:dyDescent="0.25">
      <c r="B563" s="21">
        <v>14</v>
      </c>
      <c r="C563" s="21" t="s">
        <v>628</v>
      </c>
      <c r="D563" s="21" t="s">
        <v>181</v>
      </c>
      <c r="E563" s="21" t="s">
        <v>194</v>
      </c>
      <c r="F563" s="25">
        <v>0</v>
      </c>
      <c r="G563" s="26">
        <v>4</v>
      </c>
      <c r="H563" s="21" t="s">
        <v>243</v>
      </c>
      <c r="I563" s="23">
        <v>1</v>
      </c>
      <c r="J563" s="24">
        <v>0</v>
      </c>
      <c r="K563" s="32">
        <v>0</v>
      </c>
      <c r="L563" s="24">
        <v>0</v>
      </c>
      <c r="M563" s="34"/>
      <c r="N563" s="34"/>
      <c r="O563" s="22" t="str">
        <f>IF(ISNA(VLOOKUP(Table_master_data[[#This Row],[Pick]],Table2[#All],2,FALSE)),"-",VLOOKUP(Table_master_data[[#This Row],[Pick]],Table2[#All],2,FALSE))</f>
        <v>-</v>
      </c>
      <c r="P563" s="22"/>
    </row>
    <row r="564" spans="2:16" x14ac:dyDescent="0.25">
      <c r="B564" s="21">
        <v>231</v>
      </c>
      <c r="C564" s="21" t="s">
        <v>322</v>
      </c>
      <c r="D564" s="21" t="s">
        <v>181</v>
      </c>
      <c r="E564" s="21" t="s">
        <v>187</v>
      </c>
      <c r="F564" s="25">
        <v>0</v>
      </c>
      <c r="G564" s="26">
        <v>4.5</v>
      </c>
      <c r="H564" s="21" t="s">
        <v>245</v>
      </c>
      <c r="I564" s="23">
        <v>0</v>
      </c>
      <c r="J564" s="24">
        <v>0</v>
      </c>
      <c r="K564" s="32">
        <v>0</v>
      </c>
      <c r="L564" s="24">
        <v>0</v>
      </c>
      <c r="M564" s="34"/>
      <c r="N564" s="34"/>
      <c r="O564" s="22" t="str">
        <f>IF(ISNA(VLOOKUP(Table_master_data[[#This Row],[Pick]],Table2[#All],2,FALSE)),"-",VLOOKUP(Table_master_data[[#This Row],[Pick]],Table2[#All],2,FALSE))</f>
        <v>-</v>
      </c>
      <c r="P564" s="22"/>
    </row>
    <row r="565" spans="2:16" x14ac:dyDescent="0.25">
      <c r="B565" s="21">
        <v>448</v>
      </c>
      <c r="C565" s="21" t="s">
        <v>126</v>
      </c>
      <c r="D565" s="21" t="s">
        <v>181</v>
      </c>
      <c r="E565" s="21" t="s">
        <v>193</v>
      </c>
      <c r="F565" s="25">
        <v>2</v>
      </c>
      <c r="G565" s="26">
        <v>4</v>
      </c>
      <c r="H565" s="21" t="s">
        <v>243</v>
      </c>
      <c r="I565" s="23">
        <v>1</v>
      </c>
      <c r="J565" s="24">
        <v>0</v>
      </c>
      <c r="K565" s="32">
        <v>0</v>
      </c>
      <c r="L565" s="24">
        <v>0</v>
      </c>
      <c r="M565" s="34"/>
      <c r="N565" s="34"/>
      <c r="O565" s="22" t="str">
        <f>IF(ISNA(VLOOKUP(Table_master_data[[#This Row],[Pick]],Table2[#All],2,FALSE)),"-",VLOOKUP(Table_master_data[[#This Row],[Pick]],Table2[#All],2,FALSE))</f>
        <v>-</v>
      </c>
      <c r="P565" s="22"/>
    </row>
    <row r="566" spans="2:16" x14ac:dyDescent="0.25">
      <c r="B566" s="21">
        <v>639</v>
      </c>
      <c r="C566" s="21" t="s">
        <v>795</v>
      </c>
      <c r="D566" s="21" t="s">
        <v>181</v>
      </c>
      <c r="E566" s="21" t="s">
        <v>182</v>
      </c>
      <c r="F566" s="25">
        <v>0</v>
      </c>
      <c r="G566" s="26">
        <v>4</v>
      </c>
      <c r="H566" s="21" t="s">
        <v>245</v>
      </c>
      <c r="I566" s="23">
        <v>0</v>
      </c>
      <c r="J566" s="24">
        <v>0</v>
      </c>
      <c r="K566" s="32">
        <v>0</v>
      </c>
      <c r="L566" s="24">
        <v>0</v>
      </c>
      <c r="M566" s="34"/>
      <c r="N566" s="34"/>
      <c r="O566" s="22" t="str">
        <f>IF(ISNA(VLOOKUP(Table_master_data[[#This Row],[Pick]],Table2[#All],2,FALSE)),"-",VLOOKUP(Table_master_data[[#This Row],[Pick]],Table2[#All],2,FALSE))</f>
        <v>-</v>
      </c>
      <c r="P566" s="22"/>
    </row>
    <row r="567" spans="2:16" x14ac:dyDescent="0.25">
      <c r="B567" s="21">
        <v>662</v>
      </c>
      <c r="C567" s="21" t="s">
        <v>484</v>
      </c>
      <c r="D567" s="21" t="s">
        <v>181</v>
      </c>
      <c r="E567" s="21" t="s">
        <v>194</v>
      </c>
      <c r="F567" s="25">
        <v>0</v>
      </c>
      <c r="G567" s="26">
        <v>5.5</v>
      </c>
      <c r="H567" s="21" t="s">
        <v>243</v>
      </c>
      <c r="I567" s="23">
        <v>1</v>
      </c>
      <c r="J567" s="24">
        <v>0</v>
      </c>
      <c r="K567" s="32">
        <v>0</v>
      </c>
      <c r="L567" s="24">
        <v>0</v>
      </c>
      <c r="M567" s="34"/>
      <c r="N567" s="34"/>
      <c r="O567" s="22" t="str">
        <f>IF(ISNA(VLOOKUP(Table_master_data[[#This Row],[Pick]],Table2[#All],2,FALSE)),"-",VLOOKUP(Table_master_data[[#This Row],[Pick]],Table2[#All],2,FALSE))</f>
        <v>-</v>
      </c>
      <c r="P567" s="22"/>
    </row>
    <row r="568" spans="2:16" x14ac:dyDescent="0.25">
      <c r="B568" s="21">
        <v>15</v>
      </c>
      <c r="C568" s="21" t="s">
        <v>510</v>
      </c>
      <c r="D568" s="21" t="s">
        <v>181</v>
      </c>
      <c r="E568" s="21" t="s">
        <v>194</v>
      </c>
      <c r="F568" s="25">
        <v>0</v>
      </c>
      <c r="G568" s="26">
        <v>4</v>
      </c>
      <c r="H568" s="21" t="s">
        <v>243</v>
      </c>
      <c r="I568" s="23">
        <v>1</v>
      </c>
      <c r="J568" s="24">
        <v>0</v>
      </c>
      <c r="K568" s="32">
        <v>0</v>
      </c>
      <c r="L568" s="24">
        <v>0</v>
      </c>
      <c r="M568" s="34"/>
      <c r="N568" s="34"/>
      <c r="O568" s="22" t="str">
        <f>IF(ISNA(VLOOKUP(Table_master_data[[#This Row],[Pick]],Table2[#All],2,FALSE)),"-",VLOOKUP(Table_master_data[[#This Row],[Pick]],Table2[#All],2,FALSE))</f>
        <v>-</v>
      </c>
      <c r="P568" s="22"/>
    </row>
    <row r="569" spans="2:16" x14ac:dyDescent="0.25">
      <c r="B569" s="21">
        <v>540</v>
      </c>
      <c r="C569" s="21" t="s">
        <v>760</v>
      </c>
      <c r="D569" s="21" t="s">
        <v>181</v>
      </c>
      <c r="E569" s="21" t="s">
        <v>802</v>
      </c>
      <c r="F569" s="25">
        <v>0</v>
      </c>
      <c r="G569" s="26">
        <v>4</v>
      </c>
      <c r="H569" s="21" t="s">
        <v>243</v>
      </c>
      <c r="I569" s="23">
        <v>1</v>
      </c>
      <c r="J569" s="24">
        <v>0</v>
      </c>
      <c r="K569" s="32">
        <v>0</v>
      </c>
      <c r="L569" s="24">
        <v>0</v>
      </c>
      <c r="M569" s="34"/>
      <c r="N569" s="34"/>
      <c r="O569" s="22" t="str">
        <f>IF(ISNA(VLOOKUP(Table_master_data[[#This Row],[Pick]],Table2[#All],2,FALSE)),"-",VLOOKUP(Table_master_data[[#This Row],[Pick]],Table2[#All],2,FALSE))</f>
        <v>-</v>
      </c>
      <c r="P569" s="22"/>
    </row>
    <row r="570" spans="2:16" x14ac:dyDescent="0.25">
      <c r="B570" s="21">
        <v>576</v>
      </c>
      <c r="C570" s="21" t="s">
        <v>122</v>
      </c>
      <c r="D570" s="21" t="s">
        <v>181</v>
      </c>
      <c r="E570" s="21" t="s">
        <v>192</v>
      </c>
      <c r="F570" s="25">
        <v>0</v>
      </c>
      <c r="G570" s="26">
        <v>4</v>
      </c>
      <c r="H570" s="21" t="s">
        <v>245</v>
      </c>
      <c r="I570" s="23">
        <v>0</v>
      </c>
      <c r="J570" s="24">
        <v>0</v>
      </c>
      <c r="K570" s="32">
        <v>0</v>
      </c>
      <c r="L570" s="24">
        <v>0</v>
      </c>
      <c r="M570" s="34"/>
      <c r="N570" s="34"/>
      <c r="O570" s="22" t="str">
        <f>IF(ISNA(VLOOKUP(Table_master_data[[#This Row],[Pick]],Table2[#All],2,FALSE)),"-",VLOOKUP(Table_master_data[[#This Row],[Pick]],Table2[#All],2,FALSE))</f>
        <v>-</v>
      </c>
      <c r="P570" s="22"/>
    </row>
    <row r="571" spans="2:16" x14ac:dyDescent="0.25">
      <c r="B571" s="21">
        <v>483</v>
      </c>
      <c r="C571" s="21" t="s">
        <v>456</v>
      </c>
      <c r="D571" s="21" t="s">
        <v>181</v>
      </c>
      <c r="E571" s="21" t="s">
        <v>186</v>
      </c>
      <c r="F571" s="25">
        <v>0</v>
      </c>
      <c r="G571" s="26">
        <v>4</v>
      </c>
      <c r="H571" s="21" t="s">
        <v>243</v>
      </c>
      <c r="I571" s="23">
        <v>1</v>
      </c>
      <c r="J571" s="24">
        <v>0</v>
      </c>
      <c r="K571" s="32">
        <v>0</v>
      </c>
      <c r="L571" s="24">
        <v>0</v>
      </c>
      <c r="M571" s="34"/>
      <c r="N571" s="34"/>
      <c r="O571" s="22" t="str">
        <f>IF(ISNA(VLOOKUP(Table_master_data[[#This Row],[Pick]],Table2[#All],2,FALSE)),"-",VLOOKUP(Table_master_data[[#This Row],[Pick]],Table2[#All],2,FALSE))</f>
        <v>-</v>
      </c>
      <c r="P571" s="22"/>
    </row>
    <row r="572" spans="2:16" x14ac:dyDescent="0.25">
      <c r="B572" s="21">
        <v>379</v>
      </c>
      <c r="C572" s="21" t="s">
        <v>438</v>
      </c>
      <c r="D572" s="21" t="s">
        <v>181</v>
      </c>
      <c r="E572" s="21" t="s">
        <v>180</v>
      </c>
      <c r="F572" s="25">
        <v>0</v>
      </c>
      <c r="G572" s="26">
        <v>4</v>
      </c>
      <c r="H572" s="21" t="s">
        <v>243</v>
      </c>
      <c r="I572" s="23">
        <v>1</v>
      </c>
      <c r="J572" s="24">
        <v>0</v>
      </c>
      <c r="K572" s="32">
        <v>0</v>
      </c>
      <c r="L572" s="24">
        <v>0</v>
      </c>
      <c r="M572" s="34"/>
      <c r="N572" s="34"/>
      <c r="O572" s="22" t="str">
        <f>IF(ISNA(VLOOKUP(Table_master_data[[#This Row],[Pick]],Table2[#All],2,FALSE)),"-",VLOOKUP(Table_master_data[[#This Row],[Pick]],Table2[#All],2,FALSE))</f>
        <v>-</v>
      </c>
      <c r="P572" s="22"/>
    </row>
    <row r="573" spans="2:16" x14ac:dyDescent="0.25">
      <c r="B573" s="21">
        <v>380</v>
      </c>
      <c r="C573" s="21" t="s">
        <v>692</v>
      </c>
      <c r="D573" s="21" t="s">
        <v>181</v>
      </c>
      <c r="E573" s="21" t="s">
        <v>180</v>
      </c>
      <c r="F573" s="25">
        <v>0</v>
      </c>
      <c r="G573" s="26">
        <v>4</v>
      </c>
      <c r="H573" s="21" t="s">
        <v>243</v>
      </c>
      <c r="I573" s="23">
        <v>1</v>
      </c>
      <c r="J573" s="24">
        <v>0</v>
      </c>
      <c r="K573" s="32">
        <v>0</v>
      </c>
      <c r="L573" s="24">
        <v>0</v>
      </c>
      <c r="M573" s="34"/>
      <c r="N573" s="34"/>
      <c r="O573" s="22" t="str">
        <f>IF(ISNA(VLOOKUP(Table_master_data[[#This Row],[Pick]],Table2[#All],2,FALSE)),"-",VLOOKUP(Table_master_data[[#This Row],[Pick]],Table2[#All],2,FALSE))</f>
        <v>-</v>
      </c>
      <c r="P573" s="22"/>
    </row>
    <row r="574" spans="2:16" x14ac:dyDescent="0.25">
      <c r="B574" s="21">
        <v>112</v>
      </c>
      <c r="C574" s="21" t="s">
        <v>145</v>
      </c>
      <c r="D574" s="21" t="s">
        <v>181</v>
      </c>
      <c r="E574" s="21" t="s">
        <v>183</v>
      </c>
      <c r="F574" s="25">
        <v>36</v>
      </c>
      <c r="G574" s="26">
        <v>4.5</v>
      </c>
      <c r="H574" s="21" t="s">
        <v>243</v>
      </c>
      <c r="I574" s="23">
        <v>1</v>
      </c>
      <c r="J574" s="24">
        <v>0</v>
      </c>
      <c r="K574" s="32">
        <v>0</v>
      </c>
      <c r="L574" s="24">
        <v>0</v>
      </c>
      <c r="M574" s="34"/>
      <c r="N574" s="34"/>
      <c r="O574" s="22" t="str">
        <f>IF(ISNA(VLOOKUP(Table_master_data[[#This Row],[Pick]],Table2[#All],2,FALSE)),"-",VLOOKUP(Table_master_data[[#This Row],[Pick]],Table2[#All],2,FALSE))</f>
        <v>-</v>
      </c>
      <c r="P574" s="22"/>
    </row>
    <row r="575" spans="2:16" x14ac:dyDescent="0.25">
      <c r="B575" s="21">
        <v>196</v>
      </c>
      <c r="C575" s="21" t="s">
        <v>564</v>
      </c>
      <c r="D575" s="21" t="s">
        <v>181</v>
      </c>
      <c r="E575" s="21" t="s">
        <v>508</v>
      </c>
      <c r="F575" s="25">
        <v>0</v>
      </c>
      <c r="G575" s="26">
        <v>4</v>
      </c>
      <c r="H575" s="21" t="s">
        <v>243</v>
      </c>
      <c r="I575" s="23">
        <v>1</v>
      </c>
      <c r="J575" s="24">
        <v>0</v>
      </c>
      <c r="K575" s="32">
        <v>0</v>
      </c>
      <c r="L575" s="24">
        <v>0</v>
      </c>
      <c r="M575" s="34"/>
      <c r="N575" s="34"/>
      <c r="O575" s="22" t="str">
        <f>IF(ISNA(VLOOKUP(Table_master_data[[#This Row],[Pick]],Table2[#All],2,FALSE)),"-",VLOOKUP(Table_master_data[[#This Row],[Pick]],Table2[#All],2,FALSE))</f>
        <v>-</v>
      </c>
      <c r="P575" s="22"/>
    </row>
    <row r="576" spans="2:16" x14ac:dyDescent="0.25">
      <c r="B576" s="21">
        <v>155</v>
      </c>
      <c r="C576" s="21" t="s">
        <v>617</v>
      </c>
      <c r="D576" s="21" t="s">
        <v>181</v>
      </c>
      <c r="E576" s="21" t="s">
        <v>373</v>
      </c>
      <c r="F576" s="25">
        <v>0</v>
      </c>
      <c r="G576" s="26">
        <v>4</v>
      </c>
      <c r="H576" s="21" t="s">
        <v>243</v>
      </c>
      <c r="I576" s="23">
        <v>1</v>
      </c>
      <c r="J576" s="24">
        <v>0</v>
      </c>
      <c r="K576" s="32">
        <v>0</v>
      </c>
      <c r="L576" s="24">
        <v>0</v>
      </c>
      <c r="M576" s="34"/>
      <c r="N576" s="34"/>
      <c r="O576" s="22" t="str">
        <f>IF(ISNA(VLOOKUP(Table_master_data[[#This Row],[Pick]],Table2[#All],2,FALSE)),"-",VLOOKUP(Table_master_data[[#This Row],[Pick]],Table2[#All],2,FALSE))</f>
        <v>-</v>
      </c>
      <c r="P576" s="22"/>
    </row>
    <row r="577" spans="2:16" x14ac:dyDescent="0.25">
      <c r="B577" s="21">
        <v>259</v>
      </c>
      <c r="C577" s="21" t="s">
        <v>537</v>
      </c>
      <c r="D577" s="21" t="s">
        <v>181</v>
      </c>
      <c r="E577" s="21" t="s">
        <v>188</v>
      </c>
      <c r="F577" s="25">
        <v>0</v>
      </c>
      <c r="G577" s="26">
        <v>5</v>
      </c>
      <c r="H577" s="21" t="s">
        <v>243</v>
      </c>
      <c r="I577" s="23">
        <v>1</v>
      </c>
      <c r="J577" s="24">
        <v>0</v>
      </c>
      <c r="K577" s="32">
        <v>0</v>
      </c>
      <c r="L577" s="24">
        <v>0</v>
      </c>
      <c r="M577" s="34"/>
      <c r="N577" s="34"/>
      <c r="O577" s="22" t="str">
        <f>IF(ISNA(VLOOKUP(Table_master_data[[#This Row],[Pick]],Table2[#All],2,FALSE)),"-",VLOOKUP(Table_master_data[[#This Row],[Pick]],Table2[#All],2,FALSE))</f>
        <v>-</v>
      </c>
      <c r="P577" s="22"/>
    </row>
    <row r="578" spans="2:16" x14ac:dyDescent="0.25">
      <c r="B578" s="21">
        <v>577</v>
      </c>
      <c r="C578" s="21" t="s">
        <v>741</v>
      </c>
      <c r="D578" s="21" t="s">
        <v>181</v>
      </c>
      <c r="E578" s="21" t="s">
        <v>192</v>
      </c>
      <c r="F578" s="25">
        <v>0</v>
      </c>
      <c r="G578" s="26">
        <v>4</v>
      </c>
      <c r="H578" s="21" t="s">
        <v>250</v>
      </c>
      <c r="I578" s="23">
        <v>0.25</v>
      </c>
      <c r="J578" s="24">
        <v>0</v>
      </c>
      <c r="K578" s="32">
        <v>0</v>
      </c>
      <c r="L578" s="24">
        <v>0</v>
      </c>
      <c r="M578" s="34"/>
      <c r="N578" s="34"/>
      <c r="O578" s="22" t="str">
        <f>IF(ISNA(VLOOKUP(Table_master_data[[#This Row],[Pick]],Table2[#All],2,FALSE)),"-",VLOOKUP(Table_master_data[[#This Row],[Pick]],Table2[#All],2,FALSE))</f>
        <v>-</v>
      </c>
      <c r="P578" s="22"/>
    </row>
    <row r="579" spans="2:16" x14ac:dyDescent="0.25">
      <c r="B579" s="21">
        <v>156</v>
      </c>
      <c r="C579" s="21" t="s">
        <v>619</v>
      </c>
      <c r="D579" s="21" t="s">
        <v>181</v>
      </c>
      <c r="E579" s="21" t="s">
        <v>373</v>
      </c>
      <c r="F579" s="25">
        <v>0</v>
      </c>
      <c r="G579" s="26">
        <v>4</v>
      </c>
      <c r="H579" s="21" t="s">
        <v>243</v>
      </c>
      <c r="I579" s="23">
        <v>1</v>
      </c>
      <c r="J579" s="24">
        <v>0</v>
      </c>
      <c r="K579" s="32">
        <v>0</v>
      </c>
      <c r="L579" s="24">
        <v>0</v>
      </c>
      <c r="M579" s="34"/>
      <c r="N579" s="34"/>
      <c r="O579" s="22" t="str">
        <f>IF(ISNA(VLOOKUP(Table_master_data[[#This Row],[Pick]],Table2[#All],2,FALSE)),"-",VLOOKUP(Table_master_data[[#This Row],[Pick]],Table2[#All],2,FALSE))</f>
        <v>-</v>
      </c>
      <c r="P579" s="22"/>
    </row>
    <row r="580" spans="2:16" x14ac:dyDescent="0.25">
      <c r="B580" s="21">
        <v>412</v>
      </c>
      <c r="C580" s="21" t="s">
        <v>704</v>
      </c>
      <c r="D580" s="21" t="s">
        <v>181</v>
      </c>
      <c r="E580" s="21" t="s">
        <v>184</v>
      </c>
      <c r="F580" s="25">
        <v>1</v>
      </c>
      <c r="G580" s="26">
        <v>5</v>
      </c>
      <c r="H580" s="21" t="s">
        <v>245</v>
      </c>
      <c r="I580" s="23">
        <v>0</v>
      </c>
      <c r="J580" s="24">
        <v>0</v>
      </c>
      <c r="K580" s="32">
        <v>0</v>
      </c>
      <c r="L580" s="24">
        <v>0</v>
      </c>
      <c r="M580" s="34"/>
      <c r="N580" s="34"/>
      <c r="O580" s="22" t="str">
        <f>IF(ISNA(VLOOKUP(Table_master_data[[#This Row],[Pick]],Table2[#All],2,FALSE)),"-",VLOOKUP(Table_master_data[[#This Row],[Pick]],Table2[#All],2,FALSE))</f>
        <v>-</v>
      </c>
      <c r="P580" s="22"/>
    </row>
    <row r="581" spans="2:16" x14ac:dyDescent="0.25">
      <c r="B581" s="21">
        <v>578</v>
      </c>
      <c r="C581" s="21" t="s">
        <v>742</v>
      </c>
      <c r="D581" s="21" t="s">
        <v>181</v>
      </c>
      <c r="E581" s="21" t="s">
        <v>192</v>
      </c>
      <c r="F581" s="25">
        <v>0</v>
      </c>
      <c r="G581" s="26">
        <v>4</v>
      </c>
      <c r="H581" s="21" t="s">
        <v>243</v>
      </c>
      <c r="I581" s="23">
        <v>1</v>
      </c>
      <c r="J581" s="24">
        <v>0</v>
      </c>
      <c r="K581" s="32">
        <v>0</v>
      </c>
      <c r="L581" s="24">
        <v>0</v>
      </c>
      <c r="M581" s="34"/>
      <c r="N581" s="34"/>
      <c r="O581" s="22" t="str">
        <f>IF(ISNA(VLOOKUP(Table_master_data[[#This Row],[Pick]],Table2[#All],2,FALSE)),"-",VLOOKUP(Table_master_data[[#This Row],[Pick]],Table2[#All],2,FALSE))</f>
        <v>-</v>
      </c>
      <c r="P581" s="22"/>
    </row>
    <row r="582" spans="2:16" x14ac:dyDescent="0.25">
      <c r="B582" s="21">
        <v>153</v>
      </c>
      <c r="C582" s="21" t="s">
        <v>96</v>
      </c>
      <c r="D582" s="21" t="s">
        <v>181</v>
      </c>
      <c r="E582" s="21" t="s">
        <v>373</v>
      </c>
      <c r="F582" s="25">
        <v>39</v>
      </c>
      <c r="G582" s="26">
        <v>4.5</v>
      </c>
      <c r="H582" s="21" t="s">
        <v>251</v>
      </c>
      <c r="I582" s="23">
        <v>0</v>
      </c>
      <c r="J582" s="24">
        <v>0</v>
      </c>
      <c r="K582" s="32">
        <v>0</v>
      </c>
      <c r="L582" s="24">
        <v>0</v>
      </c>
      <c r="M582" s="34"/>
      <c r="N582" s="34"/>
      <c r="O582" s="22" t="str">
        <f>IF(ISNA(VLOOKUP(Table_master_data[[#This Row],[Pick]],Table2[#All],2,FALSE)),"-",VLOOKUP(Table_master_data[[#This Row],[Pick]],Table2[#All],2,FALSE))</f>
        <v>-</v>
      </c>
      <c r="P582" s="22"/>
    </row>
    <row r="583" spans="2:16" x14ac:dyDescent="0.25">
      <c r="B583" s="21">
        <v>298</v>
      </c>
      <c r="C583" s="21" t="s">
        <v>608</v>
      </c>
      <c r="D583" s="21" t="s">
        <v>181</v>
      </c>
      <c r="E583" s="21" t="s">
        <v>185</v>
      </c>
      <c r="F583" s="25">
        <v>0</v>
      </c>
      <c r="G583" s="26">
        <v>4</v>
      </c>
      <c r="H583" s="21" t="s">
        <v>243</v>
      </c>
      <c r="I583" s="23">
        <v>1</v>
      </c>
      <c r="J583" s="24">
        <v>0</v>
      </c>
      <c r="K583" s="32">
        <v>0</v>
      </c>
      <c r="L583" s="24">
        <v>0</v>
      </c>
      <c r="M583" s="34"/>
      <c r="N583" s="34"/>
      <c r="O583" s="22" t="str">
        <f>IF(ISNA(VLOOKUP(Table_master_data[[#This Row],[Pick]],Table2[#All],2,FALSE)),"-",VLOOKUP(Table_master_data[[#This Row],[Pick]],Table2[#All],2,FALSE))</f>
        <v>-</v>
      </c>
      <c r="P583" s="22"/>
    </row>
    <row r="584" spans="2:16" x14ac:dyDescent="0.25">
      <c r="B584" s="21">
        <v>71</v>
      </c>
      <c r="C584" s="21" t="s">
        <v>303</v>
      </c>
      <c r="D584" s="21" t="s">
        <v>181</v>
      </c>
      <c r="E584" s="21" t="s">
        <v>190</v>
      </c>
      <c r="F584" s="25">
        <v>94</v>
      </c>
      <c r="G584" s="26">
        <v>5</v>
      </c>
      <c r="H584" s="21" t="s">
        <v>245</v>
      </c>
      <c r="I584" s="23">
        <v>0</v>
      </c>
      <c r="J584" s="24">
        <v>0</v>
      </c>
      <c r="K584" s="32">
        <v>0</v>
      </c>
      <c r="L584" s="24">
        <v>0</v>
      </c>
      <c r="M584" s="34"/>
      <c r="N584" s="34"/>
      <c r="O584" s="22" t="str">
        <f>IF(ISNA(VLOOKUP(Table_master_data[[#This Row],[Pick]],Table2[#All],2,FALSE)),"-",VLOOKUP(Table_master_data[[#This Row],[Pick]],Table2[#All],2,FALSE))</f>
        <v>-</v>
      </c>
      <c r="P584" s="22"/>
    </row>
    <row r="585" spans="2:16" x14ac:dyDescent="0.25">
      <c r="B585" s="21">
        <v>99</v>
      </c>
      <c r="C585" s="21" t="s">
        <v>650</v>
      </c>
      <c r="D585" s="21" t="s">
        <v>178</v>
      </c>
      <c r="E585" s="21" t="s">
        <v>190</v>
      </c>
      <c r="F585" s="25">
        <v>0</v>
      </c>
      <c r="G585" s="26">
        <v>4.5</v>
      </c>
      <c r="H585" s="21" t="s">
        <v>243</v>
      </c>
      <c r="I585" s="23">
        <v>1</v>
      </c>
      <c r="J585" s="24">
        <v>0</v>
      </c>
      <c r="K585" s="32">
        <v>0</v>
      </c>
      <c r="L585" s="24">
        <v>0</v>
      </c>
      <c r="M585" s="34"/>
      <c r="N585" s="34"/>
      <c r="O585" s="22" t="str">
        <f>IF(ISNA(VLOOKUP(Table_master_data[[#This Row],[Pick]],Table2[#All],2,FALSE)),"-",VLOOKUP(Table_master_data[[#This Row],[Pick]],Table2[#All],2,FALSE))</f>
        <v>-</v>
      </c>
      <c r="P585" s="22"/>
    </row>
    <row r="586" spans="2:16" x14ac:dyDescent="0.25">
      <c r="B586" s="21">
        <v>397</v>
      </c>
      <c r="C586" s="21" t="s">
        <v>8</v>
      </c>
      <c r="D586" s="21" t="s">
        <v>178</v>
      </c>
      <c r="E586" s="21" t="s">
        <v>180</v>
      </c>
      <c r="F586" s="25">
        <v>66</v>
      </c>
      <c r="G586" s="26">
        <v>6.5</v>
      </c>
      <c r="H586" s="21" t="s">
        <v>245</v>
      </c>
      <c r="I586" s="23">
        <v>0</v>
      </c>
      <c r="J586" s="24">
        <v>0</v>
      </c>
      <c r="K586" s="32">
        <v>0</v>
      </c>
      <c r="L586" s="24">
        <v>0</v>
      </c>
      <c r="M586" s="34"/>
      <c r="N586" s="34"/>
      <c r="O586" s="22" t="str">
        <f>IF(ISNA(VLOOKUP(Table_master_data[[#This Row],[Pick]],Table2[#All],2,FALSE)),"-",VLOOKUP(Table_master_data[[#This Row],[Pick]],Table2[#All],2,FALSE))</f>
        <v>-</v>
      </c>
      <c r="P586" s="22"/>
    </row>
    <row r="587" spans="2:16" x14ac:dyDescent="0.25">
      <c r="B587" s="21">
        <v>179</v>
      </c>
      <c r="C587" s="21" t="s">
        <v>151</v>
      </c>
      <c r="D587" s="21" t="s">
        <v>178</v>
      </c>
      <c r="E587" s="21" t="s">
        <v>373</v>
      </c>
      <c r="F587" s="25">
        <v>28</v>
      </c>
      <c r="G587" s="26">
        <v>5.5</v>
      </c>
      <c r="H587" s="21" t="s">
        <v>245</v>
      </c>
      <c r="I587" s="23">
        <v>0</v>
      </c>
      <c r="J587" s="24">
        <v>0</v>
      </c>
      <c r="K587" s="32">
        <v>0</v>
      </c>
      <c r="L587" s="24">
        <v>0</v>
      </c>
      <c r="M587" s="34"/>
      <c r="N587" s="34"/>
      <c r="O587" s="22" t="str">
        <f>IF(ISNA(VLOOKUP(Table_master_data[[#This Row],[Pick]],Table2[#All],2,FALSE)),"-",VLOOKUP(Table_master_data[[#This Row],[Pick]],Table2[#All],2,FALSE))</f>
        <v>-</v>
      </c>
      <c r="P587" s="22"/>
    </row>
    <row r="588" spans="2:16" x14ac:dyDescent="0.25">
      <c r="B588" s="21">
        <v>598</v>
      </c>
      <c r="C588" s="21" t="s">
        <v>743</v>
      </c>
      <c r="D588" s="21" t="s">
        <v>178</v>
      </c>
      <c r="E588" s="21" t="s">
        <v>192</v>
      </c>
      <c r="F588" s="25">
        <v>3</v>
      </c>
      <c r="G588" s="26">
        <v>4.5</v>
      </c>
      <c r="H588" s="21" t="s">
        <v>245</v>
      </c>
      <c r="I588" s="23">
        <v>0</v>
      </c>
      <c r="J588" s="24">
        <v>0</v>
      </c>
      <c r="K588" s="32">
        <v>0</v>
      </c>
      <c r="L588" s="24">
        <v>0</v>
      </c>
      <c r="M588" s="34"/>
      <c r="N588" s="34"/>
      <c r="O588" s="22" t="str">
        <f>IF(ISNA(VLOOKUP(Table_master_data[[#This Row],[Pick]],Table2[#All],2,FALSE)),"-",VLOOKUP(Table_master_data[[#This Row],[Pick]],Table2[#All],2,FALSE))</f>
        <v>-</v>
      </c>
      <c r="P588" s="22"/>
    </row>
    <row r="589" spans="2:16" x14ac:dyDescent="0.25">
      <c r="B589" s="21">
        <v>563</v>
      </c>
      <c r="C589" s="21" t="s">
        <v>804</v>
      </c>
      <c r="D589" s="21" t="s">
        <v>178</v>
      </c>
      <c r="E589" s="21" t="s">
        <v>802</v>
      </c>
      <c r="F589" s="25">
        <v>0</v>
      </c>
      <c r="G589" s="26">
        <v>4.5</v>
      </c>
      <c r="H589" s="21" t="s">
        <v>243</v>
      </c>
      <c r="I589" s="23">
        <v>1</v>
      </c>
      <c r="J589" s="24">
        <v>0</v>
      </c>
      <c r="K589" s="32">
        <v>0</v>
      </c>
      <c r="L589" s="24">
        <v>0</v>
      </c>
      <c r="M589" s="34"/>
      <c r="N589" s="34"/>
      <c r="O589" s="22" t="str">
        <f>IF(ISNA(VLOOKUP(Table_master_data[[#This Row],[Pick]],Table2[#All],2,FALSE)),"-",VLOOKUP(Table_master_data[[#This Row],[Pick]],Table2[#All],2,FALSE))</f>
        <v>-</v>
      </c>
      <c r="P589" s="22"/>
    </row>
    <row r="590" spans="2:16" x14ac:dyDescent="0.25">
      <c r="B590" s="21">
        <v>286</v>
      </c>
      <c r="C590" s="21" t="s">
        <v>611</v>
      </c>
      <c r="D590" s="21" t="s">
        <v>178</v>
      </c>
      <c r="E590" s="21" t="s">
        <v>188</v>
      </c>
      <c r="F590" s="25">
        <v>0</v>
      </c>
      <c r="G590" s="26">
        <v>4.5</v>
      </c>
      <c r="H590" s="21" t="s">
        <v>243</v>
      </c>
      <c r="I590" s="23">
        <v>1</v>
      </c>
      <c r="J590" s="24">
        <v>0</v>
      </c>
      <c r="K590" s="32">
        <v>0</v>
      </c>
      <c r="L590" s="24">
        <v>0</v>
      </c>
      <c r="M590" s="34"/>
      <c r="N590" s="34"/>
      <c r="O590" s="22" t="str">
        <f>IF(ISNA(VLOOKUP(Table_master_data[[#This Row],[Pick]],Table2[#All],2,FALSE)),"-",VLOOKUP(Table_master_data[[#This Row],[Pick]],Table2[#All],2,FALSE))</f>
        <v>-</v>
      </c>
      <c r="P590" s="22"/>
    </row>
    <row r="591" spans="2:16" x14ac:dyDescent="0.25">
      <c r="B591" s="21">
        <v>364</v>
      </c>
      <c r="C591" s="21" t="s">
        <v>672</v>
      </c>
      <c r="D591" s="21" t="s">
        <v>178</v>
      </c>
      <c r="E591" s="21" t="s">
        <v>815</v>
      </c>
      <c r="F591" s="25">
        <v>0</v>
      </c>
      <c r="G591" s="26">
        <v>5</v>
      </c>
      <c r="H591" s="21" t="s">
        <v>245</v>
      </c>
      <c r="I591" s="23">
        <v>0</v>
      </c>
      <c r="J591" s="24">
        <v>0</v>
      </c>
      <c r="K591" s="32">
        <v>0</v>
      </c>
      <c r="L591" s="24">
        <v>0</v>
      </c>
      <c r="M591" s="34"/>
      <c r="N591" s="34"/>
      <c r="O591" s="22" t="str">
        <f>IF(ISNA(VLOOKUP(Table_master_data[[#This Row],[Pick]],Table2[#All],2,FALSE)),"-",VLOOKUP(Table_master_data[[#This Row],[Pick]],Table2[#All],2,FALSE))</f>
        <v>-</v>
      </c>
      <c r="P591" s="22"/>
    </row>
    <row r="592" spans="2:16" x14ac:dyDescent="0.25">
      <c r="B592" s="21">
        <v>137</v>
      </c>
      <c r="C592" s="21" t="s">
        <v>631</v>
      </c>
      <c r="D592" s="21" t="s">
        <v>178</v>
      </c>
      <c r="E592" s="21" t="s">
        <v>183</v>
      </c>
      <c r="F592" s="25">
        <v>0</v>
      </c>
      <c r="G592" s="26">
        <v>4.5</v>
      </c>
      <c r="H592" s="21" t="s">
        <v>243</v>
      </c>
      <c r="I592" s="23">
        <v>1</v>
      </c>
      <c r="J592" s="24">
        <v>0</v>
      </c>
      <c r="K592" s="32">
        <v>0</v>
      </c>
      <c r="L592" s="24">
        <v>0</v>
      </c>
      <c r="M592" s="34"/>
      <c r="N592" s="34"/>
      <c r="O592" s="22" t="str">
        <f>IF(ISNA(VLOOKUP(Table_master_data[[#This Row],[Pick]],Table2[#All],2,FALSE)),"-",VLOOKUP(Table_master_data[[#This Row],[Pick]],Table2[#All],2,FALSE))</f>
        <v>-</v>
      </c>
      <c r="P592" s="22"/>
    </row>
    <row r="593" spans="2:16" x14ac:dyDescent="0.25">
      <c r="B593" s="21">
        <v>501</v>
      </c>
      <c r="C593" s="21" t="s">
        <v>728</v>
      </c>
      <c r="D593" s="21" t="s">
        <v>178</v>
      </c>
      <c r="E593" s="21" t="s">
        <v>186</v>
      </c>
      <c r="F593" s="25">
        <v>0</v>
      </c>
      <c r="G593" s="26">
        <v>4.5</v>
      </c>
      <c r="H593" s="21" t="s">
        <v>243</v>
      </c>
      <c r="I593" s="23">
        <v>1</v>
      </c>
      <c r="J593" s="24">
        <v>0</v>
      </c>
      <c r="K593" s="32">
        <v>0</v>
      </c>
      <c r="L593" s="24">
        <v>0</v>
      </c>
      <c r="M593" s="34"/>
      <c r="N593" s="34"/>
      <c r="O593" s="22" t="str">
        <f>IF(ISNA(VLOOKUP(Table_master_data[[#This Row],[Pick]],Table2[#All],2,FALSE)),"-",VLOOKUP(Table_master_data[[#This Row],[Pick]],Table2[#All],2,FALSE))</f>
        <v>-</v>
      </c>
      <c r="P593" s="22"/>
    </row>
    <row r="594" spans="2:16" x14ac:dyDescent="0.25">
      <c r="B594" s="21">
        <v>564</v>
      </c>
      <c r="C594" s="21" t="s">
        <v>767</v>
      </c>
      <c r="D594" s="21" t="s">
        <v>178</v>
      </c>
      <c r="E594" s="21" t="s">
        <v>802</v>
      </c>
      <c r="F594" s="25">
        <v>0</v>
      </c>
      <c r="G594" s="26">
        <v>4.5</v>
      </c>
      <c r="H594" s="21" t="s">
        <v>243</v>
      </c>
      <c r="I594" s="23">
        <v>1</v>
      </c>
      <c r="J594" s="24">
        <v>0</v>
      </c>
      <c r="K594" s="32">
        <v>0</v>
      </c>
      <c r="L594" s="24">
        <v>0</v>
      </c>
      <c r="M594" s="34"/>
      <c r="N594" s="34"/>
      <c r="O594" s="22" t="str">
        <f>IF(ISNA(VLOOKUP(Table_master_data[[#This Row],[Pick]],Table2[#All],2,FALSE)),"-",VLOOKUP(Table_master_data[[#This Row],[Pick]],Table2[#All],2,FALSE))</f>
        <v>-</v>
      </c>
      <c r="P594" s="22"/>
    </row>
    <row r="595" spans="2:16" x14ac:dyDescent="0.25">
      <c r="B595" s="21">
        <v>313</v>
      </c>
      <c r="C595" s="21" t="s">
        <v>555</v>
      </c>
      <c r="D595" s="21" t="s">
        <v>178</v>
      </c>
      <c r="E595" s="21" t="s">
        <v>185</v>
      </c>
      <c r="F595" s="25">
        <v>0</v>
      </c>
      <c r="G595" s="26">
        <v>4.5</v>
      </c>
      <c r="H595" s="21" t="s">
        <v>243</v>
      </c>
      <c r="I595" s="23">
        <v>1</v>
      </c>
      <c r="J595" s="24">
        <v>0</v>
      </c>
      <c r="K595" s="32">
        <v>0</v>
      </c>
      <c r="L595" s="24">
        <v>0</v>
      </c>
      <c r="M595" s="34"/>
      <c r="N595" s="34"/>
      <c r="O595" s="22" t="str">
        <f>IF(ISNA(VLOOKUP(Table_master_data[[#This Row],[Pick]],Table2[#All],2,FALSE)),"-",VLOOKUP(Table_master_data[[#This Row],[Pick]],Table2[#All],2,FALSE))</f>
        <v>-</v>
      </c>
      <c r="P595" s="22"/>
    </row>
    <row r="596" spans="2:16" x14ac:dyDescent="0.25">
      <c r="B596" s="21">
        <v>468</v>
      </c>
      <c r="C596" s="21" t="s">
        <v>720</v>
      </c>
      <c r="D596" s="21" t="s">
        <v>178</v>
      </c>
      <c r="E596" s="21" t="s">
        <v>193</v>
      </c>
      <c r="F596" s="25">
        <v>0</v>
      </c>
      <c r="G596" s="26">
        <v>4.5</v>
      </c>
      <c r="H596" s="21" t="s">
        <v>243</v>
      </c>
      <c r="I596" s="23">
        <v>1</v>
      </c>
      <c r="J596" s="24">
        <v>0</v>
      </c>
      <c r="K596" s="32">
        <v>0</v>
      </c>
      <c r="L596" s="24">
        <v>0</v>
      </c>
      <c r="M596" s="34"/>
      <c r="N596" s="34"/>
      <c r="O596" s="22" t="str">
        <f>IF(ISNA(VLOOKUP(Table_master_data[[#This Row],[Pick]],Table2[#All],2,FALSE)),"-",VLOOKUP(Table_master_data[[#This Row],[Pick]],Table2[#All],2,FALSE))</f>
        <v>-</v>
      </c>
      <c r="P596" s="22"/>
    </row>
    <row r="597" spans="2:16" x14ac:dyDescent="0.25">
      <c r="B597" s="21">
        <v>102</v>
      </c>
      <c r="C597" s="21" t="s">
        <v>567</v>
      </c>
      <c r="D597" s="21" t="s">
        <v>258</v>
      </c>
      <c r="E597" s="21" t="s">
        <v>183</v>
      </c>
      <c r="F597" s="25">
        <v>0</v>
      </c>
      <c r="G597" s="26">
        <v>4</v>
      </c>
      <c r="H597" s="21" t="s">
        <v>243</v>
      </c>
      <c r="I597" s="23">
        <v>1</v>
      </c>
      <c r="J597" s="24">
        <v>0</v>
      </c>
      <c r="K597" s="32">
        <v>0</v>
      </c>
      <c r="L597" s="24">
        <v>0</v>
      </c>
      <c r="M597" s="34"/>
      <c r="N597" s="34"/>
      <c r="O597" s="22" t="str">
        <f>IF(ISNA(VLOOKUP(Table_master_data[[#This Row],[Pick]],Table2[#All],2,FALSE)),"-",VLOOKUP(Table_master_data[[#This Row],[Pick]],Table2[#All],2,FALSE))</f>
        <v>-</v>
      </c>
      <c r="P597" s="22"/>
    </row>
    <row r="598" spans="2:16" x14ac:dyDescent="0.25">
      <c r="B598" s="21">
        <v>315</v>
      </c>
      <c r="C598" s="21" t="s">
        <v>430</v>
      </c>
      <c r="D598" s="21" t="s">
        <v>258</v>
      </c>
      <c r="E598" s="21" t="s">
        <v>189</v>
      </c>
      <c r="F598" s="25">
        <v>0</v>
      </c>
      <c r="G598" s="26">
        <v>4</v>
      </c>
      <c r="H598" s="21" t="s">
        <v>245</v>
      </c>
      <c r="I598" s="23">
        <v>0</v>
      </c>
      <c r="J598" s="24">
        <v>0</v>
      </c>
      <c r="K598" s="32">
        <v>0</v>
      </c>
      <c r="L598" s="24">
        <v>0</v>
      </c>
      <c r="M598" s="34"/>
      <c r="N598" s="34"/>
      <c r="O598" s="22" t="str">
        <f>IF(ISNA(VLOOKUP(Table_master_data[[#This Row],[Pick]],Table2[#All],2,FALSE)),"-",VLOOKUP(Table_master_data[[#This Row],[Pick]],Table2[#All],2,FALSE))</f>
        <v>-</v>
      </c>
      <c r="P598" s="22"/>
    </row>
    <row r="599" spans="2:16" x14ac:dyDescent="0.25">
      <c r="B599" s="21">
        <v>401</v>
      </c>
      <c r="C599" s="21" t="s">
        <v>317</v>
      </c>
      <c r="D599" s="21" t="s">
        <v>258</v>
      </c>
      <c r="E599" s="21" t="s">
        <v>184</v>
      </c>
      <c r="F599" s="25">
        <v>0</v>
      </c>
      <c r="G599" s="26">
        <v>4</v>
      </c>
      <c r="H599" s="21" t="s">
        <v>243</v>
      </c>
      <c r="I599" s="23">
        <v>1</v>
      </c>
      <c r="J599" s="24">
        <v>0</v>
      </c>
      <c r="K599" s="32">
        <v>0</v>
      </c>
      <c r="L599" s="24">
        <v>0</v>
      </c>
      <c r="M599" s="34"/>
      <c r="N599" s="34"/>
      <c r="O599" s="22" t="str">
        <f>IF(ISNA(VLOOKUP(Table_master_data[[#This Row],[Pick]],Table2[#All],2,FALSE)),"-",VLOOKUP(Table_master_data[[#This Row],[Pick]],Table2[#All],2,FALSE))</f>
        <v>-</v>
      </c>
      <c r="P599" s="22"/>
    </row>
    <row r="600" spans="2:16" x14ac:dyDescent="0.25">
      <c r="B600" s="21">
        <v>103</v>
      </c>
      <c r="C600" s="21" t="s">
        <v>581</v>
      </c>
      <c r="D600" s="21" t="s">
        <v>258</v>
      </c>
      <c r="E600" s="21" t="s">
        <v>183</v>
      </c>
      <c r="F600" s="25">
        <v>0</v>
      </c>
      <c r="G600" s="26">
        <v>4</v>
      </c>
      <c r="H600" s="21" t="s">
        <v>243</v>
      </c>
      <c r="I600" s="23">
        <v>1</v>
      </c>
      <c r="J600" s="24">
        <v>0</v>
      </c>
      <c r="K600" s="32">
        <v>0</v>
      </c>
      <c r="L600" s="24">
        <v>0</v>
      </c>
      <c r="M600" s="34"/>
      <c r="N600" s="34"/>
      <c r="O600" s="22" t="str">
        <f>IF(ISNA(VLOOKUP(Table_master_data[[#This Row],[Pick]],Table2[#All],2,FALSE)),"-",VLOOKUP(Table_master_data[[#This Row],[Pick]],Table2[#All],2,FALSE))</f>
        <v>-</v>
      </c>
      <c r="P600" s="22"/>
    </row>
    <row r="601" spans="2:16" x14ac:dyDescent="0.25">
      <c r="B601" s="21">
        <v>104</v>
      </c>
      <c r="C601" s="21" t="s">
        <v>558</v>
      </c>
      <c r="D601" s="21" t="s">
        <v>258</v>
      </c>
      <c r="E601" s="21" t="s">
        <v>183</v>
      </c>
      <c r="F601" s="25">
        <v>0</v>
      </c>
      <c r="G601" s="26">
        <v>4</v>
      </c>
      <c r="H601" s="21" t="s">
        <v>243</v>
      </c>
      <c r="I601" s="23">
        <v>1</v>
      </c>
      <c r="J601" s="24">
        <v>0</v>
      </c>
      <c r="K601" s="32">
        <v>0</v>
      </c>
      <c r="L601" s="24">
        <v>0</v>
      </c>
      <c r="M601" s="34"/>
      <c r="N601" s="34"/>
      <c r="O601" s="22" t="str">
        <f>IF(ISNA(VLOOKUP(Table_master_data[[#This Row],[Pick]],Table2[#All],2,FALSE)),"-",VLOOKUP(Table_master_data[[#This Row],[Pick]],Table2[#All],2,FALSE))</f>
        <v>-</v>
      </c>
      <c r="P601" s="22"/>
    </row>
    <row r="602" spans="2:16" x14ac:dyDescent="0.25">
      <c r="B602" s="21">
        <v>471</v>
      </c>
      <c r="C602" s="21" t="s">
        <v>729</v>
      </c>
      <c r="D602" s="21" t="s">
        <v>258</v>
      </c>
      <c r="E602" s="21" t="s">
        <v>186</v>
      </c>
      <c r="F602" s="25">
        <v>0</v>
      </c>
      <c r="G602" s="26">
        <v>4</v>
      </c>
      <c r="H602" s="21" t="s">
        <v>243</v>
      </c>
      <c r="I602" s="23">
        <v>1</v>
      </c>
      <c r="J602" s="24">
        <v>0</v>
      </c>
      <c r="K602" s="32">
        <v>0</v>
      </c>
      <c r="L602" s="24">
        <v>0</v>
      </c>
      <c r="M602" s="34"/>
      <c r="N602" s="34"/>
      <c r="O602" s="22" t="str">
        <f>IF(ISNA(VLOOKUP(Table_master_data[[#This Row],[Pick]],Table2[#All],2,FALSE)),"-",VLOOKUP(Table_master_data[[#This Row],[Pick]],Table2[#All],2,FALSE))</f>
        <v>-</v>
      </c>
      <c r="P602" s="22"/>
    </row>
    <row r="603" spans="2:16" x14ac:dyDescent="0.25">
      <c r="B603" s="21">
        <v>184</v>
      </c>
      <c r="C603" s="21" t="s">
        <v>633</v>
      </c>
      <c r="D603" s="21" t="s">
        <v>258</v>
      </c>
      <c r="E603" s="21" t="s">
        <v>508</v>
      </c>
      <c r="F603" s="25">
        <v>0</v>
      </c>
      <c r="G603" s="26">
        <v>4</v>
      </c>
      <c r="H603" s="21" t="s">
        <v>243</v>
      </c>
      <c r="I603" s="23">
        <v>1</v>
      </c>
      <c r="J603" s="24">
        <v>0</v>
      </c>
      <c r="K603" s="32">
        <v>0</v>
      </c>
      <c r="L603" s="24">
        <v>0</v>
      </c>
      <c r="M603" s="34"/>
      <c r="N603" s="34"/>
      <c r="O603" s="22" t="str">
        <f>IF(ISNA(VLOOKUP(Table_master_data[[#This Row],[Pick]],Table2[#All],2,FALSE)),"-",VLOOKUP(Table_master_data[[#This Row],[Pick]],Table2[#All],2,FALSE))</f>
        <v>-</v>
      </c>
      <c r="P603" s="22"/>
    </row>
    <row r="604" spans="2:16" x14ac:dyDescent="0.25">
      <c r="B604" s="21">
        <v>675</v>
      </c>
      <c r="C604" s="21" t="s">
        <v>805</v>
      </c>
      <c r="D604" s="21" t="s">
        <v>258</v>
      </c>
      <c r="E604" s="21" t="s">
        <v>374</v>
      </c>
      <c r="F604" s="25">
        <v>0</v>
      </c>
      <c r="G604" s="26">
        <v>4</v>
      </c>
      <c r="H604" s="21" t="s">
        <v>243</v>
      </c>
      <c r="I604" s="23">
        <v>1</v>
      </c>
      <c r="J604" s="24">
        <v>0</v>
      </c>
      <c r="K604" s="32">
        <v>0</v>
      </c>
      <c r="L604" s="24">
        <v>0</v>
      </c>
      <c r="M604" s="34"/>
      <c r="N604" s="34"/>
      <c r="O604" s="22" t="str">
        <f>IF(ISNA(VLOOKUP(Table_master_data[[#This Row],[Pick]],Table2[#All],2,FALSE)),"-",VLOOKUP(Table_master_data[[#This Row],[Pick]],Table2[#All],2,FALSE))</f>
        <v>-</v>
      </c>
      <c r="P604" s="22"/>
    </row>
    <row r="605" spans="2:16" x14ac:dyDescent="0.25">
      <c r="B605" s="21">
        <v>433</v>
      </c>
      <c r="C605" s="21" t="s">
        <v>427</v>
      </c>
      <c r="D605" s="21" t="s">
        <v>258</v>
      </c>
      <c r="E605" s="21" t="s">
        <v>193</v>
      </c>
      <c r="F605" s="25">
        <v>0</v>
      </c>
      <c r="G605" s="26">
        <v>4</v>
      </c>
      <c r="H605" s="21" t="s">
        <v>245</v>
      </c>
      <c r="I605" s="23">
        <v>0</v>
      </c>
      <c r="J605" s="24">
        <v>0</v>
      </c>
      <c r="K605" s="32">
        <v>0</v>
      </c>
      <c r="L605" s="24">
        <v>0</v>
      </c>
      <c r="M605" s="34"/>
      <c r="N605" s="34"/>
      <c r="O605" s="22" t="str">
        <f>IF(ISNA(VLOOKUP(Table_master_data[[#This Row],[Pick]],Table2[#All],2,FALSE)),"-",VLOOKUP(Table_master_data[[#This Row],[Pick]],Table2[#All],2,FALSE))</f>
        <v>-</v>
      </c>
      <c r="P605" s="22"/>
    </row>
    <row r="606" spans="2:16" x14ac:dyDescent="0.25">
      <c r="B606" s="21">
        <v>3</v>
      </c>
      <c r="C606" s="21" t="s">
        <v>386</v>
      </c>
      <c r="D606" s="21" t="s">
        <v>258</v>
      </c>
      <c r="E606" s="21" t="s">
        <v>194</v>
      </c>
      <c r="F606" s="25">
        <v>0</v>
      </c>
      <c r="G606" s="26">
        <v>4</v>
      </c>
      <c r="H606" s="21" t="s">
        <v>243</v>
      </c>
      <c r="I606" s="23">
        <v>1</v>
      </c>
      <c r="J606" s="24">
        <v>0</v>
      </c>
      <c r="K606" s="32">
        <v>0</v>
      </c>
      <c r="L606" s="24">
        <v>0</v>
      </c>
      <c r="M606" s="34"/>
      <c r="N606" s="34"/>
      <c r="O606" s="22" t="str">
        <f>IF(ISNA(VLOOKUP(Table_master_data[[#This Row],[Pick]],Table2[#All],2,FALSE)),"-",VLOOKUP(Table_master_data[[#This Row],[Pick]],Table2[#All],2,FALSE))</f>
        <v>-</v>
      </c>
      <c r="P606" s="22"/>
    </row>
    <row r="607" spans="2:16" x14ac:dyDescent="0.25">
      <c r="B607" s="21">
        <v>35</v>
      </c>
      <c r="C607" s="21" t="s">
        <v>390</v>
      </c>
      <c r="D607" s="21" t="s">
        <v>258</v>
      </c>
      <c r="E607" s="21" t="s">
        <v>191</v>
      </c>
      <c r="F607" s="25">
        <v>0</v>
      </c>
      <c r="G607" s="26">
        <v>4</v>
      </c>
      <c r="H607" s="21" t="s">
        <v>245</v>
      </c>
      <c r="I607" s="23">
        <v>0</v>
      </c>
      <c r="J607" s="24">
        <v>0</v>
      </c>
      <c r="K607" s="32">
        <v>0</v>
      </c>
      <c r="L607" s="24">
        <v>0</v>
      </c>
      <c r="M607" s="34"/>
      <c r="N607" s="34"/>
      <c r="O607" s="22" t="str">
        <f>IF(ISNA(VLOOKUP(Table_master_data[[#This Row],[Pick]],Table2[#All],2,FALSE)),"-",VLOOKUP(Table_master_data[[#This Row],[Pick]],Table2[#All],2,FALSE))</f>
        <v>-</v>
      </c>
      <c r="P607" s="22"/>
    </row>
    <row r="608" spans="2:16" x14ac:dyDescent="0.25">
      <c r="B608" s="21">
        <v>140</v>
      </c>
      <c r="C608" s="21" t="s">
        <v>621</v>
      </c>
      <c r="D608" s="21" t="s">
        <v>258</v>
      </c>
      <c r="E608" s="21" t="s">
        <v>373</v>
      </c>
      <c r="F608" s="25">
        <v>0</v>
      </c>
      <c r="G608" s="26">
        <v>4</v>
      </c>
      <c r="H608" s="21" t="s">
        <v>243</v>
      </c>
      <c r="I608" s="23">
        <v>1</v>
      </c>
      <c r="J608" s="24">
        <v>0</v>
      </c>
      <c r="K608" s="32">
        <v>0</v>
      </c>
      <c r="L608" s="24">
        <v>0</v>
      </c>
      <c r="M608" s="34"/>
      <c r="N608" s="34"/>
      <c r="O608" s="22" t="str">
        <f>IF(ISNA(VLOOKUP(Table_master_data[[#This Row],[Pick]],Table2[#All],2,FALSE)),"-",VLOOKUP(Table_master_data[[#This Row],[Pick]],Table2[#All],2,FALSE))</f>
        <v>-</v>
      </c>
      <c r="P608" s="22"/>
    </row>
    <row r="609" spans="2:16" x14ac:dyDescent="0.25">
      <c r="B609" s="21">
        <v>69</v>
      </c>
      <c r="C609" s="21" t="s">
        <v>646</v>
      </c>
      <c r="D609" s="21" t="s">
        <v>258</v>
      </c>
      <c r="E609" s="21" t="s">
        <v>190</v>
      </c>
      <c r="F609" s="25">
        <v>0</v>
      </c>
      <c r="G609" s="26">
        <v>4</v>
      </c>
      <c r="H609" s="21" t="s">
        <v>243</v>
      </c>
      <c r="I609" s="23">
        <v>1</v>
      </c>
      <c r="J609" s="24">
        <v>0</v>
      </c>
      <c r="K609" s="32">
        <v>0</v>
      </c>
      <c r="L609" s="24">
        <v>0</v>
      </c>
      <c r="M609" s="34"/>
      <c r="N609" s="34"/>
      <c r="O609" s="22" t="str">
        <f>IF(ISNA(VLOOKUP(Table_master_data[[#This Row],[Pick]],Table2[#All],2,FALSE)),"-",VLOOKUP(Table_master_data[[#This Row],[Pick]],Table2[#All],2,FALSE))</f>
        <v>-</v>
      </c>
      <c r="P609" s="22"/>
    </row>
    <row r="610" spans="2:16" x14ac:dyDescent="0.25">
      <c r="B610" s="21">
        <v>435</v>
      </c>
      <c r="C610" s="21" t="s">
        <v>70</v>
      </c>
      <c r="D610" s="21" t="s">
        <v>258</v>
      </c>
      <c r="E610" s="21" t="s">
        <v>193</v>
      </c>
      <c r="F610" s="25">
        <v>0</v>
      </c>
      <c r="G610" s="26">
        <v>4</v>
      </c>
      <c r="H610" s="21" t="s">
        <v>243</v>
      </c>
      <c r="I610" s="23">
        <v>1</v>
      </c>
      <c r="J610" s="24">
        <v>0</v>
      </c>
      <c r="K610" s="32">
        <v>0</v>
      </c>
      <c r="L610" s="24">
        <v>0</v>
      </c>
      <c r="M610" s="34"/>
      <c r="N610" s="34"/>
      <c r="O610" s="22" t="str">
        <f>IF(ISNA(VLOOKUP(Table_master_data[[#This Row],[Pick]],Table2[#All],2,FALSE)),"-",VLOOKUP(Table_master_data[[#This Row],[Pick]],Table2[#All],2,FALSE))</f>
        <v>-</v>
      </c>
      <c r="P610" s="22"/>
    </row>
    <row r="611" spans="2:16" x14ac:dyDescent="0.25">
      <c r="B611" s="21">
        <v>66</v>
      </c>
      <c r="C611" s="21" t="s">
        <v>15</v>
      </c>
      <c r="D611" s="21" t="s">
        <v>258</v>
      </c>
      <c r="E611" s="21" t="s">
        <v>190</v>
      </c>
      <c r="F611" s="25">
        <v>7</v>
      </c>
      <c r="G611" s="26">
        <v>4.5</v>
      </c>
      <c r="H611" s="21" t="s">
        <v>245</v>
      </c>
      <c r="I611" s="23">
        <v>0</v>
      </c>
      <c r="J611" s="24">
        <v>0</v>
      </c>
      <c r="K611" s="32">
        <v>0</v>
      </c>
      <c r="L611" s="24">
        <v>0</v>
      </c>
      <c r="M611" s="34"/>
      <c r="N611" s="34"/>
      <c r="O611" s="22" t="str">
        <f>IF(ISNA(VLOOKUP(Table_master_data[[#This Row],[Pick]],Table2[#All],2,FALSE)),"-",VLOOKUP(Table_master_data[[#This Row],[Pick]],Table2[#All],2,FALSE))</f>
        <v>-</v>
      </c>
      <c r="P611" s="22"/>
    </row>
    <row r="612" spans="2:16" x14ac:dyDescent="0.25">
      <c r="B612" s="21">
        <v>472</v>
      </c>
      <c r="C612" s="21" t="s">
        <v>457</v>
      </c>
      <c r="D612" s="21" t="s">
        <v>258</v>
      </c>
      <c r="E612" s="21" t="s">
        <v>186</v>
      </c>
      <c r="F612" s="25">
        <v>0</v>
      </c>
      <c r="G612" s="26">
        <v>4</v>
      </c>
      <c r="H612" s="21" t="s">
        <v>243</v>
      </c>
      <c r="I612" s="23">
        <v>1</v>
      </c>
      <c r="J612" s="24">
        <v>0</v>
      </c>
      <c r="K612" s="32">
        <v>0</v>
      </c>
      <c r="L612" s="24">
        <v>0</v>
      </c>
      <c r="M612" s="34"/>
      <c r="N612" s="34"/>
      <c r="O612" s="22" t="str">
        <f>IF(ISNA(VLOOKUP(Table_master_data[[#This Row],[Pick]],Table2[#All],2,FALSE)),"-",VLOOKUP(Table_master_data[[#This Row],[Pick]],Table2[#All],2,FALSE))</f>
        <v>-</v>
      </c>
      <c r="P612" s="22"/>
    </row>
    <row r="613" spans="2:16" x14ac:dyDescent="0.25">
      <c r="B613" s="21">
        <v>400</v>
      </c>
      <c r="C613" s="21" t="s">
        <v>336</v>
      </c>
      <c r="D613" s="21" t="s">
        <v>258</v>
      </c>
      <c r="E613" s="21" t="s">
        <v>184</v>
      </c>
      <c r="F613" s="25">
        <v>35</v>
      </c>
      <c r="G613" s="26">
        <v>5</v>
      </c>
      <c r="H613" s="21" t="s">
        <v>243</v>
      </c>
      <c r="I613" s="23">
        <v>1</v>
      </c>
      <c r="J613" s="24">
        <v>0</v>
      </c>
      <c r="K613" s="32">
        <v>0</v>
      </c>
      <c r="L613" s="24">
        <v>0</v>
      </c>
      <c r="M613" s="34"/>
      <c r="N613" s="34"/>
      <c r="O613" s="22" t="str">
        <f>IF(ISNA(VLOOKUP(Table_master_data[[#This Row],[Pick]],Table2[#All],2,FALSE)),"-",VLOOKUP(Table_master_data[[#This Row],[Pick]],Table2[#All],2,FALSE))</f>
        <v>-</v>
      </c>
      <c r="P613" s="22"/>
    </row>
    <row r="614" spans="2:16" x14ac:dyDescent="0.25">
      <c r="B614" s="21">
        <v>70</v>
      </c>
      <c r="C614" s="21" t="s">
        <v>397</v>
      </c>
      <c r="D614" s="21" t="s">
        <v>258</v>
      </c>
      <c r="E614" s="21" t="s">
        <v>190</v>
      </c>
      <c r="F614" s="25">
        <v>0</v>
      </c>
      <c r="G614" s="26">
        <v>4</v>
      </c>
      <c r="H614" s="21" t="s">
        <v>243</v>
      </c>
      <c r="I614" s="23">
        <v>1</v>
      </c>
      <c r="J614" s="24">
        <v>0</v>
      </c>
      <c r="K614" s="32">
        <v>0</v>
      </c>
      <c r="L614" s="24">
        <v>0</v>
      </c>
      <c r="M614" s="34"/>
      <c r="N614" s="34"/>
      <c r="O614" s="22" t="str">
        <f>IF(ISNA(VLOOKUP(Table_master_data[[#This Row],[Pick]],Table2[#All],2,FALSE)),"-",VLOOKUP(Table_master_data[[#This Row],[Pick]],Table2[#All],2,FALSE))</f>
        <v>-</v>
      </c>
      <c r="P614" s="22"/>
    </row>
    <row r="615" spans="2:16" x14ac:dyDescent="0.25">
      <c r="B615" s="21">
        <v>368</v>
      </c>
      <c r="C615" s="21" t="s">
        <v>816</v>
      </c>
      <c r="D615" s="21" t="s">
        <v>258</v>
      </c>
      <c r="E615" s="21" t="s">
        <v>180</v>
      </c>
      <c r="F615" s="25">
        <v>0</v>
      </c>
      <c r="G615" s="26">
        <v>4</v>
      </c>
      <c r="H615" s="21" t="s">
        <v>243</v>
      </c>
      <c r="I615" s="23">
        <v>1</v>
      </c>
      <c r="J615" s="24">
        <v>0</v>
      </c>
      <c r="K615" s="32">
        <v>0</v>
      </c>
      <c r="L615" s="24">
        <v>0</v>
      </c>
      <c r="M615" s="34"/>
      <c r="N615" s="34"/>
      <c r="O615" s="22" t="str">
        <f>IF(ISNA(VLOOKUP(Table_master_data[[#This Row],[Pick]],Table2[#All],2,FALSE)),"-",VLOOKUP(Table_master_data[[#This Row],[Pick]],Table2[#All],2,FALSE))</f>
        <v>-</v>
      </c>
      <c r="P615" s="22"/>
    </row>
    <row r="616" spans="2:16" x14ac:dyDescent="0.25">
      <c r="B616" s="21">
        <v>222</v>
      </c>
      <c r="C616" s="21" t="s">
        <v>520</v>
      </c>
      <c r="D616" s="21" t="s">
        <v>258</v>
      </c>
      <c r="E616" s="21" t="s">
        <v>187</v>
      </c>
      <c r="F616" s="25">
        <v>0</v>
      </c>
      <c r="G616" s="26">
        <v>4</v>
      </c>
      <c r="H616" s="21" t="s">
        <v>245</v>
      </c>
      <c r="I616" s="23">
        <v>0</v>
      </c>
      <c r="J616" s="24">
        <v>0</v>
      </c>
      <c r="K616" s="32">
        <v>0</v>
      </c>
      <c r="L616" s="24">
        <v>0</v>
      </c>
      <c r="M616" s="34"/>
      <c r="N616" s="34"/>
      <c r="O616" s="22" t="str">
        <f>IF(ISNA(VLOOKUP(Table_master_data[[#This Row],[Pick]],Table2[#All],2,FALSE)),"-",VLOOKUP(Table_master_data[[#This Row],[Pick]],Table2[#All],2,FALSE))</f>
        <v>-</v>
      </c>
      <c r="P616" s="22"/>
    </row>
    <row r="617" spans="2:16" x14ac:dyDescent="0.25">
      <c r="B617" s="21">
        <v>141</v>
      </c>
      <c r="C617" s="21" t="s">
        <v>586</v>
      </c>
      <c r="D617" s="21" t="s">
        <v>258</v>
      </c>
      <c r="E617" s="21" t="s">
        <v>373</v>
      </c>
      <c r="F617" s="25">
        <v>0</v>
      </c>
      <c r="G617" s="26">
        <v>4</v>
      </c>
      <c r="H617" s="21" t="s">
        <v>245</v>
      </c>
      <c r="I617" s="23">
        <v>0</v>
      </c>
      <c r="J617" s="24">
        <v>0</v>
      </c>
      <c r="K617" s="32">
        <v>0</v>
      </c>
      <c r="L617" s="24">
        <v>0</v>
      </c>
      <c r="M617" s="34"/>
      <c r="N617" s="34"/>
      <c r="O617" s="22" t="str">
        <f>IF(ISNA(VLOOKUP(Table_master_data[[#This Row],[Pick]],Table2[#All],2,FALSE)),"-",VLOOKUP(Table_master_data[[#This Row],[Pick]],Table2[#All],2,FALSE))</f>
        <v>-</v>
      </c>
      <c r="P617" s="22"/>
    </row>
    <row r="618" spans="2:16" x14ac:dyDescent="0.25">
      <c r="B618" s="21">
        <v>142</v>
      </c>
      <c r="C618" s="21" t="s">
        <v>569</v>
      </c>
      <c r="D618" s="21" t="s">
        <v>258</v>
      </c>
      <c r="E618" s="21" t="s">
        <v>373</v>
      </c>
      <c r="F618" s="25">
        <v>0</v>
      </c>
      <c r="G618" s="26">
        <v>4</v>
      </c>
      <c r="H618" s="21" t="s">
        <v>245</v>
      </c>
      <c r="I618" s="23">
        <v>0</v>
      </c>
      <c r="J618" s="24">
        <v>0</v>
      </c>
      <c r="K618" s="32">
        <v>0</v>
      </c>
      <c r="L618" s="24">
        <v>0</v>
      </c>
      <c r="M618" s="34"/>
      <c r="N618" s="34"/>
      <c r="O618" s="22" t="str">
        <f>IF(ISNA(VLOOKUP(Table_master_data[[#This Row],[Pick]],Table2[#All],2,FALSE)),"-",VLOOKUP(Table_master_data[[#This Row],[Pick]],Table2[#All],2,FALSE))</f>
        <v>-</v>
      </c>
      <c r="P618" s="22"/>
    </row>
    <row r="619" spans="2:16" x14ac:dyDescent="0.25">
      <c r="B619" s="21">
        <v>4</v>
      </c>
      <c r="C619" s="21" t="s">
        <v>543</v>
      </c>
      <c r="D619" s="21" t="s">
        <v>258</v>
      </c>
      <c r="E619" s="21" t="s">
        <v>194</v>
      </c>
      <c r="F619" s="25">
        <v>0</v>
      </c>
      <c r="G619" s="26">
        <v>4</v>
      </c>
      <c r="H619" s="21" t="s">
        <v>243</v>
      </c>
      <c r="I619" s="23">
        <v>1</v>
      </c>
      <c r="J619" s="24">
        <v>0</v>
      </c>
      <c r="K619" s="32">
        <v>0</v>
      </c>
      <c r="L619" s="24">
        <v>0</v>
      </c>
      <c r="M619" s="34"/>
      <c r="N619" s="34"/>
      <c r="O619" s="22" t="str">
        <f>IF(ISNA(VLOOKUP(Table_master_data[[#This Row],[Pick]],Table2[#All],2,FALSE)),"-",VLOOKUP(Table_master_data[[#This Row],[Pick]],Table2[#All],2,FALSE))</f>
        <v>-</v>
      </c>
      <c r="P619" s="22"/>
    </row>
    <row r="620" spans="2:16" x14ac:dyDescent="0.25">
      <c r="B620" s="21">
        <v>223</v>
      </c>
      <c r="C620" s="21" t="s">
        <v>528</v>
      </c>
      <c r="D620" s="21" t="s">
        <v>258</v>
      </c>
      <c r="E620" s="21" t="s">
        <v>187</v>
      </c>
      <c r="F620" s="25">
        <v>0</v>
      </c>
      <c r="G620" s="26">
        <v>4</v>
      </c>
      <c r="H620" s="21" t="s">
        <v>243</v>
      </c>
      <c r="I620" s="23">
        <v>1</v>
      </c>
      <c r="J620" s="24">
        <v>0</v>
      </c>
      <c r="K620" s="32">
        <v>0</v>
      </c>
      <c r="L620" s="24">
        <v>0</v>
      </c>
      <c r="M620" s="34"/>
      <c r="N620" s="34"/>
      <c r="O620" s="22" t="str">
        <f>IF(ISNA(VLOOKUP(Table_master_data[[#This Row],[Pick]],Table2[#All],2,FALSE)),"-",VLOOKUP(Table_master_data[[#This Row],[Pick]],Table2[#All],2,FALSE))</f>
        <v>-</v>
      </c>
      <c r="P620" s="22"/>
    </row>
    <row r="621" spans="2:16" x14ac:dyDescent="0.25">
      <c r="B621" s="21">
        <v>504</v>
      </c>
      <c r="C621" s="21" t="s">
        <v>176</v>
      </c>
      <c r="D621" s="21" t="s">
        <v>258</v>
      </c>
      <c r="E621" s="21" t="s">
        <v>374</v>
      </c>
      <c r="F621" s="25">
        <v>0</v>
      </c>
      <c r="G621" s="26">
        <v>4</v>
      </c>
      <c r="H621" s="21" t="s">
        <v>245</v>
      </c>
      <c r="I621" s="23">
        <v>0</v>
      </c>
      <c r="J621" s="24">
        <v>0</v>
      </c>
      <c r="K621" s="32">
        <v>0</v>
      </c>
      <c r="L621" s="24">
        <v>0</v>
      </c>
      <c r="M621" s="34"/>
      <c r="N621" s="34"/>
      <c r="O621" s="22" t="str">
        <f>IF(ISNA(VLOOKUP(Table_master_data[[#This Row],[Pick]],Table2[#All],2,FALSE)),"-",VLOOKUP(Table_master_data[[#This Row],[Pick]],Table2[#All],2,FALSE))</f>
        <v>-</v>
      </c>
      <c r="P621" s="22"/>
    </row>
    <row r="622" spans="2:16" x14ac:dyDescent="0.25">
      <c r="B622" s="21">
        <v>289</v>
      </c>
      <c r="C622" s="21" t="s">
        <v>616</v>
      </c>
      <c r="D622" s="21" t="s">
        <v>258</v>
      </c>
      <c r="E622" s="21" t="s">
        <v>185</v>
      </c>
      <c r="F622" s="25">
        <v>0</v>
      </c>
      <c r="G622" s="26">
        <v>4</v>
      </c>
      <c r="H622" s="21" t="s">
        <v>243</v>
      </c>
      <c r="I622" s="23">
        <v>1</v>
      </c>
      <c r="J622" s="24">
        <v>0</v>
      </c>
      <c r="K622" s="32">
        <v>0</v>
      </c>
      <c r="L622" s="24">
        <v>0</v>
      </c>
      <c r="M622" s="34"/>
      <c r="N622" s="34"/>
      <c r="O622" s="22" t="str">
        <f>IF(ISNA(VLOOKUP(Table_master_data[[#This Row],[Pick]],Table2[#All],2,FALSE)),"-",VLOOKUP(Table_master_data[[#This Row],[Pick]],Table2[#All],2,FALSE))</f>
        <v>-</v>
      </c>
      <c r="P622" s="22"/>
    </row>
    <row r="623" spans="2:16" x14ac:dyDescent="0.25">
      <c r="B623" s="21">
        <v>369</v>
      </c>
      <c r="C623" s="21" t="s">
        <v>697</v>
      </c>
      <c r="D623" s="21" t="s">
        <v>258</v>
      </c>
      <c r="E623" s="21" t="s">
        <v>180</v>
      </c>
      <c r="F623" s="25">
        <v>0</v>
      </c>
      <c r="G623" s="26">
        <v>4</v>
      </c>
      <c r="H623" s="21" t="s">
        <v>243</v>
      </c>
      <c r="I623" s="23">
        <v>1</v>
      </c>
      <c r="J623" s="24">
        <v>0</v>
      </c>
      <c r="K623" s="32">
        <v>0</v>
      </c>
      <c r="L623" s="24">
        <v>0</v>
      </c>
      <c r="M623" s="34"/>
      <c r="N623" s="34"/>
      <c r="O623" s="22" t="str">
        <f>IF(ISNA(VLOOKUP(Table_master_data[[#This Row],[Pick]],Table2[#All],2,FALSE)),"-",VLOOKUP(Table_master_data[[#This Row],[Pick]],Table2[#All],2,FALSE))</f>
        <v>-</v>
      </c>
      <c r="P623" s="22"/>
    </row>
    <row r="624" spans="2:16" x14ac:dyDescent="0.25">
      <c r="B624" s="21">
        <v>275</v>
      </c>
      <c r="C624" s="21" t="s">
        <v>324</v>
      </c>
      <c r="D624" s="21" t="s">
        <v>179</v>
      </c>
      <c r="E624" s="21" t="s">
        <v>188</v>
      </c>
      <c r="F624" s="25">
        <v>0</v>
      </c>
      <c r="G624" s="26">
        <v>4.5</v>
      </c>
      <c r="H624" s="21" t="s">
        <v>243</v>
      </c>
      <c r="I624" s="23">
        <v>1</v>
      </c>
      <c r="J624" s="24">
        <v>0</v>
      </c>
      <c r="K624" s="32">
        <v>0</v>
      </c>
      <c r="L624" s="24">
        <v>0</v>
      </c>
      <c r="M624" s="34"/>
      <c r="N624" s="34"/>
      <c r="O624" s="22" t="str">
        <f>IF(ISNA(VLOOKUP(Table_master_data[[#This Row],[Pick]],Table2[#All],2,FALSE)),"-",VLOOKUP(Table_master_data[[#This Row],[Pick]],Table2[#All],2,FALSE))</f>
        <v>-</v>
      </c>
      <c r="P624" s="22"/>
    </row>
    <row r="625" spans="2:16" x14ac:dyDescent="0.25">
      <c r="B625" s="21">
        <v>492</v>
      </c>
      <c r="C625" s="21" t="s">
        <v>806</v>
      </c>
      <c r="D625" s="21" t="s">
        <v>179</v>
      </c>
      <c r="E625" s="21" t="s">
        <v>186</v>
      </c>
      <c r="F625" s="25">
        <v>0</v>
      </c>
      <c r="G625" s="26">
        <v>5</v>
      </c>
      <c r="H625" s="21" t="s">
        <v>243</v>
      </c>
      <c r="I625" s="23">
        <v>1</v>
      </c>
      <c r="J625" s="24">
        <v>0</v>
      </c>
      <c r="K625" s="32">
        <v>0</v>
      </c>
      <c r="L625" s="24">
        <v>0</v>
      </c>
      <c r="M625" s="34"/>
      <c r="N625" s="34"/>
      <c r="O625" s="22" t="str">
        <f>IF(ISNA(VLOOKUP(Table_master_data[[#This Row],[Pick]],Table2[#All],2,FALSE)),"-",VLOOKUP(Table_master_data[[#This Row],[Pick]],Table2[#All],2,FALSE))</f>
        <v>-</v>
      </c>
      <c r="P625" s="22"/>
    </row>
    <row r="626" spans="2:16" x14ac:dyDescent="0.25">
      <c r="B626" s="21">
        <v>454</v>
      </c>
      <c r="C626" s="21" t="s">
        <v>290</v>
      </c>
      <c r="D626" s="21" t="s">
        <v>179</v>
      </c>
      <c r="E626" s="21" t="s">
        <v>193</v>
      </c>
      <c r="F626" s="25">
        <v>8</v>
      </c>
      <c r="G626" s="26">
        <v>6</v>
      </c>
      <c r="H626" s="21" t="s">
        <v>243</v>
      </c>
      <c r="I626" s="23">
        <v>1</v>
      </c>
      <c r="J626" s="24">
        <v>0</v>
      </c>
      <c r="K626" s="32">
        <v>0</v>
      </c>
      <c r="L626" s="24">
        <v>0</v>
      </c>
      <c r="M626" s="34"/>
      <c r="N626" s="34"/>
      <c r="O626" s="22" t="str">
        <f>IF(ISNA(VLOOKUP(Table_master_data[[#This Row],[Pick]],Table2[#All],2,FALSE)),"-",VLOOKUP(Table_master_data[[#This Row],[Pick]],Table2[#All],2,FALSE))</f>
        <v>-</v>
      </c>
      <c r="P626" s="22"/>
    </row>
    <row r="627" spans="2:16" x14ac:dyDescent="0.25">
      <c r="B627" s="21">
        <v>649</v>
      </c>
      <c r="C627" s="21" t="s">
        <v>490</v>
      </c>
      <c r="D627" s="21" t="s">
        <v>179</v>
      </c>
      <c r="E627" s="21" t="s">
        <v>182</v>
      </c>
      <c r="F627" s="25">
        <v>1</v>
      </c>
      <c r="G627" s="26">
        <v>5</v>
      </c>
      <c r="H627" s="21" t="s">
        <v>245</v>
      </c>
      <c r="I627" s="23">
        <v>0</v>
      </c>
      <c r="J627" s="24">
        <v>0</v>
      </c>
      <c r="K627" s="32">
        <v>0</v>
      </c>
      <c r="L627" s="24">
        <v>0</v>
      </c>
      <c r="M627" s="34"/>
      <c r="N627" s="34"/>
      <c r="O627" s="22" t="str">
        <f>IF(ISNA(VLOOKUP(Table_master_data[[#This Row],[Pick]],Table2[#All],2,FALSE)),"-",VLOOKUP(Table_master_data[[#This Row],[Pick]],Table2[#All],2,FALSE))</f>
        <v>-</v>
      </c>
      <c r="P627" s="22"/>
    </row>
    <row r="628" spans="2:16" x14ac:dyDescent="0.25">
      <c r="B628" s="21">
        <v>554</v>
      </c>
      <c r="C628" s="21" t="s">
        <v>771</v>
      </c>
      <c r="D628" s="21" t="s">
        <v>179</v>
      </c>
      <c r="E628" s="21" t="s">
        <v>802</v>
      </c>
      <c r="F628" s="25">
        <v>0</v>
      </c>
      <c r="G628" s="26">
        <v>4.5</v>
      </c>
      <c r="H628" s="21" t="s">
        <v>243</v>
      </c>
      <c r="I628" s="23">
        <v>1</v>
      </c>
      <c r="J628" s="24">
        <v>0</v>
      </c>
      <c r="K628" s="32">
        <v>0</v>
      </c>
      <c r="L628" s="24">
        <v>0</v>
      </c>
      <c r="M628" s="34"/>
      <c r="N628" s="34"/>
      <c r="O628" s="22" t="str">
        <f>IF(ISNA(VLOOKUP(Table_master_data[[#This Row],[Pick]],Table2[#All],2,FALSE)),"-",VLOOKUP(Table_master_data[[#This Row],[Pick]],Table2[#All],2,FALSE))</f>
        <v>-</v>
      </c>
      <c r="P628" s="22"/>
    </row>
    <row r="629" spans="2:16" x14ac:dyDescent="0.25">
      <c r="B629" s="21">
        <v>393</v>
      </c>
      <c r="C629" s="21" t="s">
        <v>334</v>
      </c>
      <c r="D629" s="21" t="s">
        <v>179</v>
      </c>
      <c r="E629" s="21" t="s">
        <v>180</v>
      </c>
      <c r="F629" s="25">
        <v>0</v>
      </c>
      <c r="G629" s="26">
        <v>4.5</v>
      </c>
      <c r="H629" s="21" t="s">
        <v>243</v>
      </c>
      <c r="I629" s="23">
        <v>1</v>
      </c>
      <c r="J629" s="24">
        <v>0</v>
      </c>
      <c r="K629" s="32">
        <v>0</v>
      </c>
      <c r="L629" s="24">
        <v>0</v>
      </c>
      <c r="M629" s="34"/>
      <c r="N629" s="34"/>
      <c r="O629" s="22" t="str">
        <f>IF(ISNA(VLOOKUP(Table_master_data[[#This Row],[Pick]],Table2[#All],2,FALSE)),"-",VLOOKUP(Table_master_data[[#This Row],[Pick]],Table2[#All],2,FALSE))</f>
        <v>-</v>
      </c>
      <c r="P629" s="22"/>
    </row>
    <row r="630" spans="2:16" x14ac:dyDescent="0.25">
      <c r="B630" s="21">
        <v>56</v>
      </c>
      <c r="C630" s="21" t="s">
        <v>392</v>
      </c>
      <c r="D630" s="21" t="s">
        <v>179</v>
      </c>
      <c r="E630" s="21" t="s">
        <v>191</v>
      </c>
      <c r="F630" s="25">
        <v>0</v>
      </c>
      <c r="G630" s="26">
        <v>5</v>
      </c>
      <c r="H630" s="21" t="s">
        <v>245</v>
      </c>
      <c r="I630" s="23">
        <v>0</v>
      </c>
      <c r="J630" s="24">
        <v>0</v>
      </c>
      <c r="K630" s="32">
        <v>0</v>
      </c>
      <c r="L630" s="24">
        <v>0</v>
      </c>
      <c r="M630" s="34"/>
      <c r="N630" s="34"/>
      <c r="O630" s="22" t="str">
        <f>IF(ISNA(VLOOKUP(Table_master_data[[#This Row],[Pick]],Table2[#All],2,FALSE)),"-",VLOOKUP(Table_master_data[[#This Row],[Pick]],Table2[#All],2,FALSE))</f>
        <v>-</v>
      </c>
      <c r="P630" s="22"/>
    </row>
    <row r="631" spans="2:16" x14ac:dyDescent="0.25">
      <c r="B631" s="21">
        <v>60</v>
      </c>
      <c r="C631" s="21" t="s">
        <v>531</v>
      </c>
      <c r="D631" s="21" t="s">
        <v>179</v>
      </c>
      <c r="E631" s="21" t="s">
        <v>191</v>
      </c>
      <c r="F631" s="25">
        <v>0</v>
      </c>
      <c r="G631" s="26">
        <v>4.5</v>
      </c>
      <c r="H631" s="21" t="s">
        <v>243</v>
      </c>
      <c r="I631" s="23">
        <v>1</v>
      </c>
      <c r="J631" s="24">
        <v>0</v>
      </c>
      <c r="K631" s="32">
        <v>0</v>
      </c>
      <c r="L631" s="24">
        <v>0</v>
      </c>
      <c r="M631" s="34"/>
      <c r="N631" s="34"/>
      <c r="O631" s="22" t="str">
        <f>IF(ISNA(VLOOKUP(Table_master_data[[#This Row],[Pick]],Table2[#All],2,FALSE)),"-",VLOOKUP(Table_master_data[[#This Row],[Pick]],Table2[#All],2,FALSE))</f>
        <v>-</v>
      </c>
      <c r="P631" s="22"/>
    </row>
    <row r="632" spans="2:16" x14ac:dyDescent="0.25">
      <c r="B632" s="21">
        <v>590</v>
      </c>
      <c r="C632" s="21" t="s">
        <v>114</v>
      </c>
      <c r="D632" s="21" t="s">
        <v>179</v>
      </c>
      <c r="E632" s="21" t="s">
        <v>192</v>
      </c>
      <c r="F632" s="25">
        <v>0</v>
      </c>
      <c r="G632" s="26">
        <v>5</v>
      </c>
      <c r="H632" s="21" t="s">
        <v>243</v>
      </c>
      <c r="I632" s="23">
        <v>1</v>
      </c>
      <c r="J632" s="24">
        <v>0</v>
      </c>
      <c r="K632" s="32">
        <v>0</v>
      </c>
      <c r="L632" s="24">
        <v>0</v>
      </c>
      <c r="M632" s="34"/>
      <c r="N632" s="34"/>
      <c r="O632" s="22" t="str">
        <f>IF(ISNA(VLOOKUP(Table_master_data[[#This Row],[Pick]],Table2[#All],2,FALSE)),"-",VLOOKUP(Table_master_data[[#This Row],[Pick]],Table2[#All],2,FALSE))</f>
        <v>-</v>
      </c>
      <c r="P632" s="22"/>
    </row>
    <row r="633" spans="2:16" x14ac:dyDescent="0.25">
      <c r="B633" s="21">
        <v>168</v>
      </c>
      <c r="C633" s="21" t="s">
        <v>295</v>
      </c>
      <c r="D633" s="21" t="s">
        <v>179</v>
      </c>
      <c r="E633" s="21" t="s">
        <v>373</v>
      </c>
      <c r="F633" s="25">
        <v>75</v>
      </c>
      <c r="G633" s="26">
        <v>5</v>
      </c>
      <c r="H633" s="21" t="s">
        <v>243</v>
      </c>
      <c r="I633" s="23">
        <v>1</v>
      </c>
      <c r="J633" s="24">
        <v>0</v>
      </c>
      <c r="K633" s="32">
        <v>0</v>
      </c>
      <c r="L633" s="24">
        <v>0</v>
      </c>
      <c r="M633" s="34"/>
      <c r="N633" s="34"/>
      <c r="O633" s="22" t="str">
        <f>IF(ISNA(VLOOKUP(Table_master_data[[#This Row],[Pick]],Table2[#All],2,FALSE)),"-",VLOOKUP(Table_master_data[[#This Row],[Pick]],Table2[#All],2,FALSE))</f>
        <v>-</v>
      </c>
      <c r="P633" s="22"/>
    </row>
    <row r="634" spans="2:16" x14ac:dyDescent="0.25">
      <c r="B634" s="21">
        <v>617</v>
      </c>
      <c r="C634" s="21" t="s">
        <v>331</v>
      </c>
      <c r="D634" s="21" t="s">
        <v>179</v>
      </c>
      <c r="E634" s="21" t="s">
        <v>372</v>
      </c>
      <c r="F634" s="25">
        <v>1</v>
      </c>
      <c r="G634" s="26">
        <v>5</v>
      </c>
      <c r="H634" s="21" t="s">
        <v>243</v>
      </c>
      <c r="I634" s="23">
        <v>1</v>
      </c>
      <c r="J634" s="24">
        <v>0</v>
      </c>
      <c r="K634" s="32">
        <v>0</v>
      </c>
      <c r="L634" s="24">
        <v>0</v>
      </c>
      <c r="M634" s="34"/>
      <c r="N634" s="34"/>
      <c r="O634" s="22" t="str">
        <f>IF(ISNA(VLOOKUP(Table_master_data[[#This Row],[Pick]],Table2[#All],2,FALSE)),"-",VLOOKUP(Table_master_data[[#This Row],[Pick]],Table2[#All],2,FALSE))</f>
        <v>-</v>
      </c>
      <c r="P634" s="22"/>
    </row>
    <row r="635" spans="2:16" x14ac:dyDescent="0.25">
      <c r="B635" s="21">
        <v>359</v>
      </c>
      <c r="C635" s="21" t="s">
        <v>681</v>
      </c>
      <c r="D635" s="21" t="s">
        <v>179</v>
      </c>
      <c r="E635" s="21" t="s">
        <v>815</v>
      </c>
      <c r="F635" s="25">
        <v>0</v>
      </c>
      <c r="G635" s="26">
        <v>4.5</v>
      </c>
      <c r="H635" s="21" t="s">
        <v>245</v>
      </c>
      <c r="I635" s="23">
        <v>0</v>
      </c>
      <c r="J635" s="24">
        <v>0</v>
      </c>
      <c r="K635" s="32">
        <v>0</v>
      </c>
      <c r="L635" s="24">
        <v>0</v>
      </c>
      <c r="M635" s="34"/>
      <c r="N635" s="34"/>
      <c r="O635" s="22" t="str">
        <f>IF(ISNA(VLOOKUP(Table_master_data[[#This Row],[Pick]],Table2[#All],2,FALSE)),"-",VLOOKUP(Table_master_data[[#This Row],[Pick]],Table2[#All],2,FALSE))</f>
        <v>-</v>
      </c>
      <c r="P635" s="22"/>
    </row>
    <row r="636" spans="2:16" x14ac:dyDescent="0.25">
      <c r="B636" s="21">
        <v>61</v>
      </c>
      <c r="C636" s="21" t="s">
        <v>87</v>
      </c>
      <c r="D636" s="21" t="s">
        <v>179</v>
      </c>
      <c r="E636" s="21" t="s">
        <v>191</v>
      </c>
      <c r="F636" s="25">
        <v>0</v>
      </c>
      <c r="G636" s="26">
        <v>4.5</v>
      </c>
      <c r="H636" s="21" t="s">
        <v>243</v>
      </c>
      <c r="I636" s="23">
        <v>1</v>
      </c>
      <c r="J636" s="24">
        <v>0</v>
      </c>
      <c r="K636" s="32">
        <v>0</v>
      </c>
      <c r="L636" s="24">
        <v>0</v>
      </c>
      <c r="M636" s="34"/>
      <c r="N636" s="34"/>
      <c r="O636" s="22" t="str">
        <f>IF(ISNA(VLOOKUP(Table_master_data[[#This Row],[Pick]],Table2[#All],2,FALSE)),"-",VLOOKUP(Table_master_data[[#This Row],[Pick]],Table2[#All],2,FALSE))</f>
        <v>-</v>
      </c>
      <c r="P636" s="22"/>
    </row>
    <row r="637" spans="2:16" x14ac:dyDescent="0.25">
      <c r="B637" s="21">
        <v>391</v>
      </c>
      <c r="C637" s="21" t="s">
        <v>441</v>
      </c>
      <c r="D637" s="21" t="s">
        <v>179</v>
      </c>
      <c r="E637" s="21" t="s">
        <v>180</v>
      </c>
      <c r="F637" s="25">
        <v>0</v>
      </c>
      <c r="G637" s="26">
        <v>5</v>
      </c>
      <c r="H637" s="21" t="s">
        <v>243</v>
      </c>
      <c r="I637" s="23">
        <v>1</v>
      </c>
      <c r="J637" s="24">
        <v>0</v>
      </c>
      <c r="K637" s="32">
        <v>0</v>
      </c>
      <c r="L637" s="24">
        <v>0</v>
      </c>
      <c r="M637" s="34"/>
      <c r="N637" s="34"/>
      <c r="O637" s="22" t="str">
        <f>IF(ISNA(VLOOKUP(Table_master_data[[#This Row],[Pick]],Table2[#All],2,FALSE)),"-",VLOOKUP(Table_master_data[[#This Row],[Pick]],Table2[#All],2,FALSE))</f>
        <v>-</v>
      </c>
      <c r="P637" s="22"/>
    </row>
    <row r="638" spans="2:16" x14ac:dyDescent="0.25">
      <c r="B638" s="21">
        <v>57</v>
      </c>
      <c r="C638" s="21" t="s">
        <v>393</v>
      </c>
      <c r="D638" s="21" t="s">
        <v>179</v>
      </c>
      <c r="E638" s="21" t="s">
        <v>191</v>
      </c>
      <c r="F638" s="25">
        <v>0</v>
      </c>
      <c r="G638" s="26">
        <v>5</v>
      </c>
      <c r="H638" s="21" t="s">
        <v>243</v>
      </c>
      <c r="I638" s="23">
        <v>1</v>
      </c>
      <c r="J638" s="24">
        <v>0</v>
      </c>
      <c r="K638" s="32">
        <v>0</v>
      </c>
      <c r="L638" s="24">
        <v>0</v>
      </c>
      <c r="M638" s="34"/>
      <c r="N638" s="34"/>
      <c r="O638" s="22" t="str">
        <f>IF(ISNA(VLOOKUP(Table_master_data[[#This Row],[Pick]],Table2[#All],2,FALSE)),"-",VLOOKUP(Table_master_data[[#This Row],[Pick]],Table2[#All],2,FALSE))</f>
        <v>-</v>
      </c>
      <c r="P638" s="22"/>
    </row>
    <row r="639" spans="2:16" x14ac:dyDescent="0.25">
      <c r="B639" s="21">
        <v>130</v>
      </c>
      <c r="C639" s="21" t="s">
        <v>634</v>
      </c>
      <c r="D639" s="21" t="s">
        <v>179</v>
      </c>
      <c r="E639" s="21" t="s">
        <v>183</v>
      </c>
      <c r="F639" s="25">
        <v>0</v>
      </c>
      <c r="G639" s="26">
        <v>4.5</v>
      </c>
      <c r="H639" s="21" t="s">
        <v>243</v>
      </c>
      <c r="I639" s="23">
        <v>1</v>
      </c>
      <c r="J639" s="24">
        <v>0</v>
      </c>
      <c r="K639" s="32">
        <v>0</v>
      </c>
      <c r="L639" s="24">
        <v>0</v>
      </c>
      <c r="M639" s="34"/>
      <c r="N639" s="34"/>
      <c r="O639" s="22" t="str">
        <f>IF(ISNA(VLOOKUP(Table_master_data[[#This Row],[Pick]],Table2[#All],2,FALSE)),"-",VLOOKUP(Table_master_data[[#This Row],[Pick]],Table2[#All],2,FALSE))</f>
        <v>-</v>
      </c>
      <c r="P639" s="22"/>
    </row>
    <row r="640" spans="2:16" x14ac:dyDescent="0.25">
      <c r="B640" s="21">
        <v>620</v>
      </c>
      <c r="C640" s="21" t="s">
        <v>477</v>
      </c>
      <c r="D640" s="21" t="s">
        <v>179</v>
      </c>
      <c r="E640" s="21" t="s">
        <v>372</v>
      </c>
      <c r="F640" s="25">
        <v>0</v>
      </c>
      <c r="G640" s="26">
        <v>4.5</v>
      </c>
      <c r="H640" s="21" t="s">
        <v>243</v>
      </c>
      <c r="I640" s="23">
        <v>1</v>
      </c>
      <c r="J640" s="24">
        <v>0</v>
      </c>
      <c r="K640" s="32">
        <v>0</v>
      </c>
      <c r="L640" s="24">
        <v>0</v>
      </c>
      <c r="M640" s="34"/>
      <c r="N640" s="34"/>
      <c r="O640" s="22" t="str">
        <f>IF(ISNA(VLOOKUP(Table_master_data[[#This Row],[Pick]],Table2[#All],2,FALSE)),"-",VLOOKUP(Table_master_data[[#This Row],[Pick]],Table2[#All],2,FALSE))</f>
        <v>-</v>
      </c>
      <c r="P640" s="22"/>
    </row>
    <row r="641" spans="2:16" x14ac:dyDescent="0.25">
      <c r="B641" s="21">
        <v>277</v>
      </c>
      <c r="C641" s="21" t="s">
        <v>155</v>
      </c>
      <c r="D641" s="21" t="s">
        <v>179</v>
      </c>
      <c r="E641" s="21" t="s">
        <v>188</v>
      </c>
      <c r="F641" s="25">
        <v>0</v>
      </c>
      <c r="G641" s="26">
        <v>4.5</v>
      </c>
      <c r="H641" s="21" t="s">
        <v>245</v>
      </c>
      <c r="I641" s="23">
        <v>0</v>
      </c>
      <c r="J641" s="24">
        <v>0</v>
      </c>
      <c r="K641" s="32">
        <v>0</v>
      </c>
      <c r="L641" s="24">
        <v>0</v>
      </c>
      <c r="M641" s="34"/>
      <c r="N641" s="34"/>
      <c r="O641" s="22" t="str">
        <f>IF(ISNA(VLOOKUP(Table_master_data[[#This Row],[Pick]],Table2[#All],2,FALSE)),"-",VLOOKUP(Table_master_data[[#This Row],[Pick]],Table2[#All],2,FALSE))</f>
        <v>-</v>
      </c>
      <c r="P641" s="22"/>
    </row>
    <row r="642" spans="2:16" x14ac:dyDescent="0.25">
      <c r="B642" s="21">
        <v>556</v>
      </c>
      <c r="C642" s="21" t="s">
        <v>775</v>
      </c>
      <c r="D642" s="21" t="s">
        <v>179</v>
      </c>
      <c r="E642" s="21" t="s">
        <v>802</v>
      </c>
      <c r="F642" s="25">
        <v>0</v>
      </c>
      <c r="G642" s="26">
        <v>4.5</v>
      </c>
      <c r="H642" s="21" t="s">
        <v>243</v>
      </c>
      <c r="I642" s="23">
        <v>1</v>
      </c>
      <c r="J642" s="24">
        <v>0</v>
      </c>
      <c r="K642" s="32">
        <v>0</v>
      </c>
      <c r="L642" s="24">
        <v>0</v>
      </c>
      <c r="M642" s="34"/>
      <c r="N642" s="34"/>
      <c r="O642" s="22" t="str">
        <f>IF(ISNA(VLOOKUP(Table_master_data[[#This Row],[Pick]],Table2[#All],2,FALSE)),"-",VLOOKUP(Table_master_data[[#This Row],[Pick]],Table2[#All],2,FALSE))</f>
        <v>-</v>
      </c>
      <c r="P642" s="22"/>
    </row>
    <row r="643" spans="2:16" x14ac:dyDescent="0.25">
      <c r="B643" s="21">
        <v>161</v>
      </c>
      <c r="C643" s="21" t="s">
        <v>154</v>
      </c>
      <c r="D643" s="21" t="s">
        <v>179</v>
      </c>
      <c r="E643" s="21" t="s">
        <v>373</v>
      </c>
      <c r="F643" s="25">
        <v>59</v>
      </c>
      <c r="G643" s="26">
        <v>5.5</v>
      </c>
      <c r="H643" s="21" t="s">
        <v>251</v>
      </c>
      <c r="I643" s="23">
        <v>0</v>
      </c>
      <c r="J643" s="24">
        <v>0</v>
      </c>
      <c r="K643" s="32">
        <v>0</v>
      </c>
      <c r="L643" s="24">
        <v>0</v>
      </c>
      <c r="M643" s="34"/>
      <c r="N643" s="34"/>
      <c r="O643" s="22" t="str">
        <f>IF(ISNA(VLOOKUP(Table_master_data[[#This Row],[Pick]],Table2[#All],2,FALSE)),"-",VLOOKUP(Table_master_data[[#This Row],[Pick]],Table2[#All],2,FALSE))</f>
        <v>-</v>
      </c>
      <c r="P643" s="22"/>
    </row>
    <row r="644" spans="2:16" x14ac:dyDescent="0.25">
      <c r="B644" s="21">
        <v>23</v>
      </c>
      <c r="C644" s="21" t="s">
        <v>544</v>
      </c>
      <c r="D644" s="21" t="s">
        <v>179</v>
      </c>
      <c r="E644" s="21" t="s">
        <v>194</v>
      </c>
      <c r="F644" s="25">
        <v>0</v>
      </c>
      <c r="G644" s="26">
        <v>5.5</v>
      </c>
      <c r="H644" s="21" t="s">
        <v>243</v>
      </c>
      <c r="I644" s="23">
        <v>1</v>
      </c>
      <c r="J644" s="24">
        <v>0</v>
      </c>
      <c r="K644" s="32">
        <v>0</v>
      </c>
      <c r="L644" s="24">
        <v>0</v>
      </c>
      <c r="M644" s="34"/>
      <c r="N644" s="34"/>
      <c r="O644" s="22" t="str">
        <f>IF(ISNA(VLOOKUP(Table_master_data[[#This Row],[Pick]],Table2[#All],2,FALSE)),"-",VLOOKUP(Table_master_data[[#This Row],[Pick]],Table2[#All],2,FALSE))</f>
        <v>-</v>
      </c>
      <c r="P644" s="22"/>
    </row>
    <row r="645" spans="2:16" x14ac:dyDescent="0.25">
      <c r="B645" s="21">
        <v>92</v>
      </c>
      <c r="C645" s="21" t="s">
        <v>399</v>
      </c>
      <c r="D645" s="21" t="s">
        <v>179</v>
      </c>
      <c r="E645" s="21" t="s">
        <v>190</v>
      </c>
      <c r="F645" s="25">
        <v>0</v>
      </c>
      <c r="G645" s="26">
        <v>4.5</v>
      </c>
      <c r="H645" s="21" t="s">
        <v>243</v>
      </c>
      <c r="I645" s="23">
        <v>1</v>
      </c>
      <c r="J645" s="24">
        <v>0</v>
      </c>
      <c r="K645" s="32">
        <v>0</v>
      </c>
      <c r="L645" s="24">
        <v>0</v>
      </c>
      <c r="M645" s="34"/>
      <c r="N645" s="34"/>
      <c r="O645" s="22" t="str">
        <f>IF(ISNA(VLOOKUP(Table_master_data[[#This Row],[Pick]],Table2[#All],2,FALSE)),"-",VLOOKUP(Table_master_data[[#This Row],[Pick]],Table2[#All],2,FALSE))</f>
        <v>-</v>
      </c>
      <c r="P645" s="22"/>
    </row>
    <row r="646" spans="2:16" x14ac:dyDescent="0.25">
      <c r="B646" s="21">
        <v>453</v>
      </c>
      <c r="C646" s="21" t="s">
        <v>325</v>
      </c>
      <c r="D646" s="21" t="s">
        <v>179</v>
      </c>
      <c r="E646" s="21" t="s">
        <v>193</v>
      </c>
      <c r="F646" s="25">
        <v>106</v>
      </c>
      <c r="G646" s="26">
        <v>6.5</v>
      </c>
      <c r="H646" s="21" t="s">
        <v>243</v>
      </c>
      <c r="I646" s="23">
        <v>1</v>
      </c>
      <c r="J646" s="24">
        <v>0</v>
      </c>
      <c r="K646" s="32">
        <v>0</v>
      </c>
      <c r="L646" s="24">
        <v>0</v>
      </c>
      <c r="M646" s="34"/>
      <c r="N646" s="34"/>
      <c r="O646" s="22" t="str">
        <f>IF(ISNA(VLOOKUP(Table_master_data[[#This Row],[Pick]],Table2[#All],2,FALSE)),"-",VLOOKUP(Table_master_data[[#This Row],[Pick]],Table2[#All],2,FALSE))</f>
        <v>-</v>
      </c>
      <c r="P646" s="22"/>
    </row>
    <row r="647" spans="2:16" x14ac:dyDescent="0.25">
      <c r="B647" s="21">
        <v>360</v>
      </c>
      <c r="C647" s="21" t="s">
        <v>682</v>
      </c>
      <c r="D647" s="21" t="s">
        <v>179</v>
      </c>
      <c r="E647" s="21" t="s">
        <v>815</v>
      </c>
      <c r="F647" s="25">
        <v>0</v>
      </c>
      <c r="G647" s="26">
        <v>4.5</v>
      </c>
      <c r="H647" s="21" t="s">
        <v>245</v>
      </c>
      <c r="I647" s="23">
        <v>0</v>
      </c>
      <c r="J647" s="24">
        <v>0</v>
      </c>
      <c r="K647" s="32">
        <v>0</v>
      </c>
      <c r="L647" s="24">
        <v>0</v>
      </c>
      <c r="M647" s="34"/>
      <c r="N647" s="34"/>
      <c r="O647" s="22" t="str">
        <f>IF(ISNA(VLOOKUP(Table_master_data[[#This Row],[Pick]],Table2[#All],2,FALSE)),"-",VLOOKUP(Table_master_data[[#This Row],[Pick]],Table2[#All],2,FALSE))</f>
        <v>-</v>
      </c>
      <c r="P647" s="22"/>
    </row>
    <row r="648" spans="2:16" x14ac:dyDescent="0.25">
      <c r="B648" s="21">
        <v>647</v>
      </c>
      <c r="C648" s="21" t="s">
        <v>329</v>
      </c>
      <c r="D648" s="21" t="s">
        <v>179</v>
      </c>
      <c r="E648" s="21" t="s">
        <v>182</v>
      </c>
      <c r="F648" s="25">
        <v>62</v>
      </c>
      <c r="G648" s="26">
        <v>5.5</v>
      </c>
      <c r="H648" s="21" t="s">
        <v>245</v>
      </c>
      <c r="I648" s="23">
        <v>0</v>
      </c>
      <c r="J648" s="24">
        <v>0</v>
      </c>
      <c r="K648" s="32">
        <v>0</v>
      </c>
      <c r="L648" s="24">
        <v>0</v>
      </c>
      <c r="M648" s="34"/>
      <c r="N648" s="34"/>
      <c r="O648" s="22" t="str">
        <f>IF(ISNA(VLOOKUP(Table_master_data[[#This Row],[Pick]],Table2[#All],2,FALSE)),"-",VLOOKUP(Table_master_data[[#This Row],[Pick]],Table2[#All],2,FALSE))</f>
        <v>-</v>
      </c>
      <c r="P648" s="22"/>
    </row>
    <row r="649" spans="2:16" x14ac:dyDescent="0.25">
      <c r="B649" s="21">
        <v>361</v>
      </c>
      <c r="C649" s="21" t="s">
        <v>686</v>
      </c>
      <c r="D649" s="21" t="s">
        <v>179</v>
      </c>
      <c r="E649" s="21" t="s">
        <v>815</v>
      </c>
      <c r="F649" s="25">
        <v>0</v>
      </c>
      <c r="G649" s="26">
        <v>4.5</v>
      </c>
      <c r="H649" s="21" t="s">
        <v>243</v>
      </c>
      <c r="I649" s="23">
        <v>1</v>
      </c>
      <c r="J649" s="24">
        <v>0</v>
      </c>
      <c r="K649" s="32">
        <v>0</v>
      </c>
      <c r="L649" s="24">
        <v>0</v>
      </c>
      <c r="M649" s="34"/>
      <c r="N649" s="34"/>
      <c r="O649" s="22" t="str">
        <f>IF(ISNA(VLOOKUP(Table_master_data[[#This Row],[Pick]],Table2[#All],2,FALSE)),"-",VLOOKUP(Table_master_data[[#This Row],[Pick]],Table2[#All],2,FALSE))</f>
        <v>-</v>
      </c>
      <c r="P649" s="22"/>
    </row>
    <row r="650" spans="2:16" x14ac:dyDescent="0.25">
      <c r="B650" s="21">
        <v>557</v>
      </c>
      <c r="C650" s="21" t="s">
        <v>776</v>
      </c>
      <c r="D650" s="21" t="s">
        <v>179</v>
      </c>
      <c r="E650" s="21" t="s">
        <v>802</v>
      </c>
      <c r="F650" s="25">
        <v>0</v>
      </c>
      <c r="G650" s="26">
        <v>4.5</v>
      </c>
      <c r="H650" s="21" t="s">
        <v>243</v>
      </c>
      <c r="I650" s="23">
        <v>1</v>
      </c>
      <c r="J650" s="24">
        <v>0</v>
      </c>
      <c r="K650" s="32">
        <v>0</v>
      </c>
      <c r="L650" s="24">
        <v>0</v>
      </c>
      <c r="M650" s="34"/>
      <c r="N650" s="34"/>
      <c r="O650" s="22" t="str">
        <f>IF(ISNA(VLOOKUP(Table_master_data[[#This Row],[Pick]],Table2[#All],2,FALSE)),"-",VLOOKUP(Table_master_data[[#This Row],[Pick]],Table2[#All],2,FALSE))</f>
        <v>-</v>
      </c>
      <c r="P650" s="22"/>
    </row>
    <row r="651" spans="2:16" x14ac:dyDescent="0.25">
      <c r="B651" s="21">
        <v>334</v>
      </c>
      <c r="C651" s="21" t="s">
        <v>432</v>
      </c>
      <c r="D651" s="21" t="s">
        <v>179</v>
      </c>
      <c r="E651" s="21" t="s">
        <v>189</v>
      </c>
      <c r="F651" s="25">
        <v>0</v>
      </c>
      <c r="G651" s="26">
        <v>4.5</v>
      </c>
      <c r="H651" s="21" t="s">
        <v>245</v>
      </c>
      <c r="I651" s="23">
        <v>0</v>
      </c>
      <c r="J651" s="24">
        <v>0</v>
      </c>
      <c r="K651" s="32">
        <v>0</v>
      </c>
      <c r="L651" s="24">
        <v>0</v>
      </c>
      <c r="M651" s="34"/>
      <c r="N651" s="34"/>
      <c r="O651" s="22" t="str">
        <f>IF(ISNA(VLOOKUP(Table_master_data[[#This Row],[Pick]],Table2[#All],2,FALSE)),"-",VLOOKUP(Table_master_data[[#This Row],[Pick]],Table2[#All],2,FALSE))</f>
        <v>-</v>
      </c>
      <c r="P651" s="22"/>
    </row>
    <row r="652" spans="2:16" x14ac:dyDescent="0.25">
      <c r="B652" s="21">
        <v>495</v>
      </c>
      <c r="C652" s="21" t="s">
        <v>342</v>
      </c>
      <c r="D652" s="21" t="s">
        <v>179</v>
      </c>
      <c r="E652" s="21" t="s">
        <v>186</v>
      </c>
      <c r="F652" s="25">
        <v>0</v>
      </c>
      <c r="G652" s="26">
        <v>4.5</v>
      </c>
      <c r="H652" s="21" t="s">
        <v>245</v>
      </c>
      <c r="I652" s="23">
        <v>0</v>
      </c>
      <c r="J652" s="24">
        <v>0</v>
      </c>
      <c r="K652" s="32">
        <v>0</v>
      </c>
      <c r="L652" s="24">
        <v>0</v>
      </c>
      <c r="M652" s="34"/>
      <c r="N652" s="34"/>
      <c r="O652" s="22" t="str">
        <f>IF(ISNA(VLOOKUP(Table_master_data[[#This Row],[Pick]],Table2[#All],2,FALSE)),"-",VLOOKUP(Table_master_data[[#This Row],[Pick]],Table2[#All],2,FALSE))</f>
        <v>-</v>
      </c>
      <c r="P652" s="22"/>
    </row>
    <row r="653" spans="2:16" x14ac:dyDescent="0.25">
      <c r="B653" s="21">
        <v>124</v>
      </c>
      <c r="C653" s="21" t="s">
        <v>35</v>
      </c>
      <c r="D653" s="21" t="s">
        <v>179</v>
      </c>
      <c r="E653" s="21" t="s">
        <v>183</v>
      </c>
      <c r="F653" s="25">
        <v>0</v>
      </c>
      <c r="G653" s="26">
        <v>5</v>
      </c>
      <c r="H653" s="21" t="s">
        <v>243</v>
      </c>
      <c r="I653" s="23">
        <v>1</v>
      </c>
      <c r="J653" s="24">
        <v>0</v>
      </c>
      <c r="K653" s="32">
        <v>0</v>
      </c>
      <c r="L653" s="24">
        <v>0</v>
      </c>
      <c r="M653" s="34"/>
      <c r="N653" s="34"/>
      <c r="O653" s="22" t="str">
        <f>IF(ISNA(VLOOKUP(Table_master_data[[#This Row],[Pick]],Table2[#All],2,FALSE)),"-",VLOOKUP(Table_master_data[[#This Row],[Pick]],Table2[#All],2,FALSE))</f>
        <v>-</v>
      </c>
      <c r="P653" s="22"/>
    </row>
    <row r="654" spans="2:16" x14ac:dyDescent="0.25">
      <c r="B654" s="21">
        <v>653</v>
      </c>
      <c r="C654" s="21" t="s">
        <v>335</v>
      </c>
      <c r="D654" s="21" t="s">
        <v>179</v>
      </c>
      <c r="E654" s="21" t="s">
        <v>182</v>
      </c>
      <c r="F654" s="25">
        <v>0</v>
      </c>
      <c r="G654" s="26">
        <v>4.5</v>
      </c>
      <c r="H654" s="21" t="s">
        <v>245</v>
      </c>
      <c r="I654" s="23">
        <v>0</v>
      </c>
      <c r="J654" s="24">
        <v>0</v>
      </c>
      <c r="K654" s="32">
        <v>0</v>
      </c>
      <c r="L654" s="24">
        <v>0</v>
      </c>
      <c r="M654" s="34"/>
      <c r="N654" s="34"/>
      <c r="O654" s="22" t="str">
        <f>IF(ISNA(VLOOKUP(Table_master_data[[#This Row],[Pick]],Table2[#All],2,FALSE)),"-",VLOOKUP(Table_master_data[[#This Row],[Pick]],Table2[#All],2,FALSE))</f>
        <v>-</v>
      </c>
      <c r="P654" s="22"/>
    </row>
    <row r="655" spans="2:16" x14ac:dyDescent="0.25">
      <c r="B655" s="21">
        <v>278</v>
      </c>
      <c r="C655" s="21" t="s">
        <v>598</v>
      </c>
      <c r="D655" s="21" t="s">
        <v>179</v>
      </c>
      <c r="E655" s="21" t="s">
        <v>188</v>
      </c>
      <c r="F655" s="25">
        <v>0</v>
      </c>
      <c r="G655" s="26">
        <v>4.5</v>
      </c>
      <c r="H655" s="21" t="s">
        <v>243</v>
      </c>
      <c r="I655" s="23">
        <v>1</v>
      </c>
      <c r="J655" s="24">
        <v>0</v>
      </c>
      <c r="K655" s="32">
        <v>0</v>
      </c>
      <c r="L655" s="24">
        <v>0</v>
      </c>
      <c r="M655" s="34"/>
      <c r="N655" s="34"/>
      <c r="O655" s="22" t="str">
        <f>IF(ISNA(VLOOKUP(Table_master_data[[#This Row],[Pick]],Table2[#All],2,FALSE)),"-",VLOOKUP(Table_master_data[[#This Row],[Pick]],Table2[#All],2,FALSE))</f>
        <v>-</v>
      </c>
      <c r="P655" s="22"/>
    </row>
    <row r="656" spans="2:16" x14ac:dyDescent="0.25">
      <c r="B656" s="21">
        <v>28</v>
      </c>
      <c r="C656" s="21" t="s">
        <v>546</v>
      </c>
      <c r="D656" s="21" t="s">
        <v>179</v>
      </c>
      <c r="E656" s="21" t="s">
        <v>194</v>
      </c>
      <c r="F656" s="25">
        <v>0</v>
      </c>
      <c r="G656" s="26">
        <v>4.5</v>
      </c>
      <c r="H656" s="21" t="s">
        <v>243</v>
      </c>
      <c r="I656" s="23">
        <v>1</v>
      </c>
      <c r="J656" s="24">
        <v>0</v>
      </c>
      <c r="K656" s="32">
        <v>0</v>
      </c>
      <c r="L656" s="24">
        <v>0</v>
      </c>
      <c r="M656" s="34"/>
      <c r="N656" s="34"/>
      <c r="O656" s="22" t="str">
        <f>IF(ISNA(VLOOKUP(Table_master_data[[#This Row],[Pick]],Table2[#All],2,FALSE)),"-",VLOOKUP(Table_master_data[[#This Row],[Pick]],Table2[#All],2,FALSE))</f>
        <v>-</v>
      </c>
      <c r="P656" s="22"/>
    </row>
    <row r="657" spans="2:16" x14ac:dyDescent="0.25">
      <c r="B657" s="21">
        <v>175</v>
      </c>
      <c r="C657" s="21" t="s">
        <v>622</v>
      </c>
      <c r="D657" s="21" t="s">
        <v>179</v>
      </c>
      <c r="E657" s="21" t="s">
        <v>373</v>
      </c>
      <c r="F657" s="25">
        <v>0</v>
      </c>
      <c r="G657" s="26">
        <v>4.5</v>
      </c>
      <c r="H657" s="21" t="s">
        <v>243</v>
      </c>
      <c r="I657" s="23">
        <v>1</v>
      </c>
      <c r="J657" s="24">
        <v>0</v>
      </c>
      <c r="K657" s="32">
        <v>0</v>
      </c>
      <c r="L657" s="24">
        <v>0</v>
      </c>
      <c r="M657" s="34"/>
      <c r="N657" s="34"/>
      <c r="O657" s="22" t="str">
        <f>IF(ISNA(VLOOKUP(Table_master_data[[#This Row],[Pick]],Table2[#All],2,FALSE)),"-",VLOOKUP(Table_master_data[[#This Row],[Pick]],Table2[#All],2,FALSE))</f>
        <v>-</v>
      </c>
      <c r="P657" s="22"/>
    </row>
    <row r="658" spans="2:16" x14ac:dyDescent="0.25">
      <c r="B658" s="21">
        <v>383</v>
      </c>
      <c r="C658" s="21" t="s">
        <v>817</v>
      </c>
      <c r="D658" s="21" t="s">
        <v>179</v>
      </c>
      <c r="E658" s="21" t="s">
        <v>180</v>
      </c>
      <c r="F658" s="25">
        <v>183</v>
      </c>
      <c r="G658" s="26">
        <v>8</v>
      </c>
      <c r="H658" s="21" t="s">
        <v>245</v>
      </c>
      <c r="I658" s="23">
        <v>0</v>
      </c>
      <c r="J658" s="24">
        <v>0</v>
      </c>
      <c r="K658" s="32">
        <v>0</v>
      </c>
      <c r="L658" s="24">
        <v>0</v>
      </c>
      <c r="M658" s="34"/>
      <c r="N658" s="34"/>
      <c r="O658" s="22" t="str">
        <f>IF(ISNA(VLOOKUP(Table_master_data[[#This Row],[Pick]],Table2[#All],2,FALSE)),"-",VLOOKUP(Table_master_data[[#This Row],[Pick]],Table2[#All],2,FALSE))</f>
        <v>-</v>
      </c>
      <c r="P658" s="22"/>
    </row>
    <row r="659" spans="2:16" x14ac:dyDescent="0.25">
      <c r="B659" s="21">
        <v>581</v>
      </c>
      <c r="C659" s="21" t="s">
        <v>17</v>
      </c>
      <c r="D659" s="21" t="s">
        <v>179</v>
      </c>
      <c r="E659" s="21" t="s">
        <v>192</v>
      </c>
      <c r="F659" s="25">
        <v>133</v>
      </c>
      <c r="G659" s="26">
        <v>7</v>
      </c>
      <c r="H659" s="21" t="s">
        <v>251</v>
      </c>
      <c r="I659" s="23">
        <v>0</v>
      </c>
      <c r="J659" s="24">
        <v>0</v>
      </c>
      <c r="K659" s="32">
        <v>0</v>
      </c>
      <c r="L659" s="24">
        <v>0</v>
      </c>
      <c r="M659" s="34"/>
      <c r="N659" s="34"/>
      <c r="O659" s="22" t="str">
        <f>IF(ISNA(VLOOKUP(Table_master_data[[#This Row],[Pick]],Table2[#All],2,FALSE)),"-",VLOOKUP(Table_master_data[[#This Row],[Pick]],Table2[#All],2,FALSE))</f>
        <v>-</v>
      </c>
      <c r="P659" s="22"/>
    </row>
    <row r="660" spans="2:16" x14ac:dyDescent="0.25">
      <c r="B660" s="21">
        <v>558</v>
      </c>
      <c r="C660" s="21" t="s">
        <v>777</v>
      </c>
      <c r="D660" s="21" t="s">
        <v>179</v>
      </c>
      <c r="E660" s="21" t="s">
        <v>802</v>
      </c>
      <c r="F660" s="25">
        <v>0</v>
      </c>
      <c r="G660" s="26">
        <v>4.5</v>
      </c>
      <c r="H660" s="21" t="s">
        <v>243</v>
      </c>
      <c r="I660" s="23">
        <v>1</v>
      </c>
      <c r="J660" s="24">
        <v>0</v>
      </c>
      <c r="K660" s="32">
        <v>0</v>
      </c>
      <c r="L660" s="24">
        <v>0</v>
      </c>
      <c r="M660" s="34"/>
      <c r="N660" s="34"/>
      <c r="O660" s="22" t="str">
        <f>IF(ISNA(VLOOKUP(Table_master_data[[#This Row],[Pick]],Table2[#All],2,FALSE)),"-",VLOOKUP(Table_master_data[[#This Row],[Pick]],Table2[#All],2,FALSE))</f>
        <v>-</v>
      </c>
      <c r="P660" s="22"/>
    </row>
    <row r="661" spans="2:16" x14ac:dyDescent="0.25">
      <c r="B661" s="21">
        <v>176</v>
      </c>
      <c r="C661" s="21" t="s">
        <v>411</v>
      </c>
      <c r="D661" s="21" t="s">
        <v>179</v>
      </c>
      <c r="E661" s="21" t="s">
        <v>373</v>
      </c>
      <c r="F661" s="25">
        <v>0</v>
      </c>
      <c r="G661" s="26">
        <v>4.5</v>
      </c>
      <c r="H661" s="21" t="s">
        <v>243</v>
      </c>
      <c r="I661" s="23">
        <v>1</v>
      </c>
      <c r="J661" s="24">
        <v>0</v>
      </c>
      <c r="K661" s="32">
        <v>0</v>
      </c>
      <c r="L661" s="24">
        <v>0</v>
      </c>
      <c r="M661" s="34"/>
      <c r="N661" s="34"/>
      <c r="O661" s="22" t="str">
        <f>IF(ISNA(VLOOKUP(Table_master_data[[#This Row],[Pick]],Table2[#All],2,FALSE)),"-",VLOOKUP(Table_master_data[[#This Row],[Pick]],Table2[#All],2,FALSE))</f>
        <v>-</v>
      </c>
      <c r="P661" s="22"/>
    </row>
    <row r="662" spans="2:16" x14ac:dyDescent="0.25">
      <c r="B662" s="21">
        <v>426</v>
      </c>
      <c r="C662" s="21" t="s">
        <v>171</v>
      </c>
      <c r="D662" s="21" t="s">
        <v>179</v>
      </c>
      <c r="E662" s="21" t="s">
        <v>184</v>
      </c>
      <c r="F662" s="25">
        <v>31</v>
      </c>
      <c r="G662" s="26">
        <v>5.5</v>
      </c>
      <c r="H662" s="21" t="s">
        <v>243</v>
      </c>
      <c r="I662" s="23">
        <v>1</v>
      </c>
      <c r="J662" s="24">
        <v>0</v>
      </c>
      <c r="K662" s="32">
        <v>0</v>
      </c>
      <c r="L662" s="24">
        <v>0</v>
      </c>
      <c r="M662" s="34"/>
      <c r="N662" s="34"/>
      <c r="O662" s="22" t="str">
        <f>IF(ISNA(VLOOKUP(Table_master_data[[#This Row],[Pick]],Table2[#All],2,FALSE)),"-",VLOOKUP(Table_master_data[[#This Row],[Pick]],Table2[#All],2,FALSE))</f>
        <v>-</v>
      </c>
      <c r="P662" s="22"/>
    </row>
    <row r="663" spans="2:16" x14ac:dyDescent="0.25">
      <c r="B663" s="21">
        <v>309</v>
      </c>
      <c r="C663" s="21" t="s">
        <v>610</v>
      </c>
      <c r="D663" s="21" t="s">
        <v>179</v>
      </c>
      <c r="E663" s="21" t="s">
        <v>185</v>
      </c>
      <c r="F663" s="25">
        <v>0</v>
      </c>
      <c r="G663" s="26">
        <v>4.5</v>
      </c>
      <c r="H663" s="21" t="s">
        <v>245</v>
      </c>
      <c r="I663" s="23">
        <v>0</v>
      </c>
      <c r="J663" s="24">
        <v>0</v>
      </c>
      <c r="K663" s="32">
        <v>0</v>
      </c>
      <c r="L663" s="24">
        <v>0</v>
      </c>
      <c r="M663" s="34"/>
      <c r="N663" s="34"/>
      <c r="O663" s="22" t="str">
        <f>IF(ISNA(VLOOKUP(Table_master_data[[#This Row],[Pick]],Table2[#All],2,FALSE)),"-",VLOOKUP(Table_master_data[[#This Row],[Pick]],Table2[#All],2,FALSE))</f>
        <v>-</v>
      </c>
      <c r="P663" s="22"/>
    </row>
    <row r="664" spans="2:16" x14ac:dyDescent="0.25">
      <c r="B664" s="21">
        <v>594</v>
      </c>
      <c r="C664" s="21" t="s">
        <v>746</v>
      </c>
      <c r="D664" s="21" t="s">
        <v>179</v>
      </c>
      <c r="E664" s="21" t="s">
        <v>192</v>
      </c>
      <c r="F664" s="25">
        <v>0</v>
      </c>
      <c r="G664" s="26">
        <v>4.5</v>
      </c>
      <c r="H664" s="21" t="s">
        <v>245</v>
      </c>
      <c r="I664" s="23">
        <v>0</v>
      </c>
      <c r="J664" s="24">
        <v>0</v>
      </c>
      <c r="K664" s="32">
        <v>0</v>
      </c>
      <c r="L664" s="24">
        <v>0</v>
      </c>
      <c r="M664" s="34"/>
      <c r="N664" s="34"/>
      <c r="O664" s="22" t="str">
        <f>IF(ISNA(VLOOKUP(Table_master_data[[#This Row],[Pick]],Table2[#All],2,FALSE)),"-",VLOOKUP(Table_master_data[[#This Row],[Pick]],Table2[#All],2,FALSE))</f>
        <v>-</v>
      </c>
      <c r="P664" s="22"/>
    </row>
    <row r="665" spans="2:16" x14ac:dyDescent="0.25">
      <c r="B665" s="21">
        <v>592</v>
      </c>
      <c r="C665" s="21" t="s">
        <v>747</v>
      </c>
      <c r="D665" s="21" t="s">
        <v>179</v>
      </c>
      <c r="E665" s="21" t="s">
        <v>192</v>
      </c>
      <c r="F665" s="25">
        <v>19</v>
      </c>
      <c r="G665" s="26">
        <v>5</v>
      </c>
      <c r="H665" s="21" t="s">
        <v>245</v>
      </c>
      <c r="I665" s="23">
        <v>0</v>
      </c>
      <c r="J665" s="24">
        <v>0</v>
      </c>
      <c r="K665" s="32">
        <v>0</v>
      </c>
      <c r="L665" s="24">
        <v>0</v>
      </c>
      <c r="M665" s="34"/>
      <c r="N665" s="34"/>
      <c r="O665" s="22" t="str">
        <f>IF(ISNA(VLOOKUP(Table_master_data[[#This Row],[Pick]],Table2[#All],2,FALSE)),"-",VLOOKUP(Table_master_data[[#This Row],[Pick]],Table2[#All],2,FALSE))</f>
        <v>-</v>
      </c>
      <c r="P665" s="22"/>
    </row>
    <row r="666" spans="2:16" x14ac:dyDescent="0.25">
      <c r="B666" s="21">
        <v>177</v>
      </c>
      <c r="C666" s="21" t="s">
        <v>623</v>
      </c>
      <c r="D666" s="21" t="s">
        <v>179</v>
      </c>
      <c r="E666" s="21" t="s">
        <v>373</v>
      </c>
      <c r="F666" s="25">
        <v>0</v>
      </c>
      <c r="G666" s="26">
        <v>4.5</v>
      </c>
      <c r="H666" s="21" t="s">
        <v>243</v>
      </c>
      <c r="I666" s="23">
        <v>1</v>
      </c>
      <c r="J666" s="24">
        <v>0</v>
      </c>
      <c r="K666" s="32">
        <v>0</v>
      </c>
      <c r="L666" s="24">
        <v>0</v>
      </c>
      <c r="M666" s="34"/>
      <c r="N666" s="34"/>
      <c r="O666" s="22" t="str">
        <f>IF(ISNA(VLOOKUP(Table_master_data[[#This Row],[Pick]],Table2[#All],2,FALSE)),"-",VLOOKUP(Table_master_data[[#This Row],[Pick]],Table2[#All],2,FALSE))</f>
        <v>-</v>
      </c>
      <c r="P666" s="22"/>
    </row>
    <row r="667" spans="2:16" x14ac:dyDescent="0.25">
      <c r="B667" s="21">
        <v>395</v>
      </c>
      <c r="C667" s="21" t="s">
        <v>446</v>
      </c>
      <c r="D667" s="21" t="s">
        <v>179</v>
      </c>
      <c r="E667" s="21" t="s">
        <v>180</v>
      </c>
      <c r="F667" s="25">
        <v>0</v>
      </c>
      <c r="G667" s="26">
        <v>4.5</v>
      </c>
      <c r="H667" s="21" t="s">
        <v>245</v>
      </c>
      <c r="I667" s="23">
        <v>0</v>
      </c>
      <c r="J667" s="24">
        <v>0</v>
      </c>
      <c r="K667" s="32">
        <v>0</v>
      </c>
      <c r="L667" s="24">
        <v>0</v>
      </c>
      <c r="M667" s="34"/>
      <c r="N667" s="34"/>
      <c r="O667" s="22" t="str">
        <f>IF(ISNA(VLOOKUP(Table_master_data[[#This Row],[Pick]],Table2[#All],2,FALSE)),"-",VLOOKUP(Table_master_data[[#This Row],[Pick]],Table2[#All],2,FALSE))</f>
        <v>-</v>
      </c>
      <c r="P667" s="22"/>
    </row>
    <row r="668" spans="2:16" x14ac:dyDescent="0.25">
      <c r="B668" s="21">
        <v>245</v>
      </c>
      <c r="C668" s="21" t="s">
        <v>297</v>
      </c>
      <c r="D668" s="21" t="s">
        <v>179</v>
      </c>
      <c r="E668" s="21" t="s">
        <v>187</v>
      </c>
      <c r="F668" s="25">
        <v>7</v>
      </c>
      <c r="G668" s="26">
        <v>5</v>
      </c>
      <c r="H668" s="21" t="s">
        <v>252</v>
      </c>
      <c r="I668" s="23">
        <v>0</v>
      </c>
      <c r="J668" s="24">
        <v>0</v>
      </c>
      <c r="K668" s="32">
        <v>0</v>
      </c>
      <c r="L668" s="24">
        <v>0</v>
      </c>
      <c r="M668" s="34"/>
      <c r="N668" s="34"/>
      <c r="O668" s="22" t="str">
        <f>IF(ISNA(VLOOKUP(Table_master_data[[#This Row],[Pick]],Table2[#All],2,FALSE)),"-",VLOOKUP(Table_master_data[[#This Row],[Pick]],Table2[#All],2,FALSE))</f>
        <v>-</v>
      </c>
      <c r="P668" s="22"/>
    </row>
    <row r="669" spans="2:16" x14ac:dyDescent="0.25">
      <c r="B669" s="21">
        <v>27</v>
      </c>
      <c r="C669" s="21" t="s">
        <v>169</v>
      </c>
      <c r="D669" s="21" t="s">
        <v>179</v>
      </c>
      <c r="E669" s="21" t="s">
        <v>194</v>
      </c>
      <c r="F669" s="25">
        <v>27</v>
      </c>
      <c r="G669" s="26">
        <v>5</v>
      </c>
      <c r="H669" s="21" t="s">
        <v>243</v>
      </c>
      <c r="I669" s="23">
        <v>1</v>
      </c>
      <c r="J669" s="24">
        <v>0</v>
      </c>
      <c r="K669" s="32">
        <v>0</v>
      </c>
      <c r="L669" s="24">
        <v>0</v>
      </c>
      <c r="M669" s="34"/>
      <c r="N669" s="34"/>
      <c r="O669" s="22" t="str">
        <f>IF(ISNA(VLOOKUP(Table_master_data[[#This Row],[Pick]],Table2[#All],2,FALSE)),"-",VLOOKUP(Table_master_data[[#This Row],[Pick]],Table2[#All],2,FALSE))</f>
        <v>-</v>
      </c>
      <c r="P669" s="22"/>
    </row>
    <row r="670" spans="2:16" x14ac:dyDescent="0.25">
      <c r="B670" s="21">
        <v>396</v>
      </c>
      <c r="C670" s="21" t="s">
        <v>700</v>
      </c>
      <c r="D670" s="21" t="s">
        <v>179</v>
      </c>
      <c r="E670" s="21" t="s">
        <v>180</v>
      </c>
      <c r="F670" s="25">
        <v>0</v>
      </c>
      <c r="G670" s="26">
        <v>4.5</v>
      </c>
      <c r="H670" s="21" t="s">
        <v>243</v>
      </c>
      <c r="I670" s="23">
        <v>1</v>
      </c>
      <c r="J670" s="24">
        <v>0</v>
      </c>
      <c r="K670" s="32">
        <v>0</v>
      </c>
      <c r="L670" s="24">
        <v>0</v>
      </c>
      <c r="M670" s="34"/>
      <c r="N670" s="34"/>
      <c r="O670" s="22" t="str">
        <f>IF(ISNA(VLOOKUP(Table_master_data[[#This Row],[Pick]],Table2[#All],2,FALSE)),"-",VLOOKUP(Table_master_data[[#This Row],[Pick]],Table2[#All],2,FALSE))</f>
        <v>-</v>
      </c>
      <c r="P670" s="22"/>
    </row>
    <row r="671" spans="2:16" x14ac:dyDescent="0.25">
      <c r="B671" s="21">
        <v>428</v>
      </c>
      <c r="C671" s="21" t="s">
        <v>711</v>
      </c>
      <c r="D671" s="21" t="s">
        <v>179</v>
      </c>
      <c r="E671" s="21" t="s">
        <v>184</v>
      </c>
      <c r="F671" s="25">
        <v>0</v>
      </c>
      <c r="G671" s="26">
        <v>5</v>
      </c>
      <c r="H671" s="21" t="s">
        <v>243</v>
      </c>
      <c r="I671" s="23">
        <v>1</v>
      </c>
      <c r="J671" s="24">
        <v>0</v>
      </c>
      <c r="K671" s="32">
        <v>0</v>
      </c>
      <c r="L671" s="24">
        <v>0</v>
      </c>
      <c r="M671" s="34"/>
      <c r="N671" s="34"/>
      <c r="O671" s="22" t="str">
        <f>IF(ISNA(VLOOKUP(Table_master_data[[#This Row],[Pick]],Table2[#All],2,FALSE)),"-",VLOOKUP(Table_master_data[[#This Row],[Pick]],Table2[#All],2,FALSE))</f>
        <v>-</v>
      </c>
      <c r="P671" s="22"/>
    </row>
    <row r="672" spans="2:16" x14ac:dyDescent="0.25">
      <c r="B672" s="21">
        <v>520</v>
      </c>
      <c r="C672" s="21" t="s">
        <v>157</v>
      </c>
      <c r="D672" s="21" t="s">
        <v>179</v>
      </c>
      <c r="E672" s="21" t="s">
        <v>374</v>
      </c>
      <c r="F672" s="25">
        <v>0</v>
      </c>
      <c r="G672" s="26">
        <v>5</v>
      </c>
      <c r="H672" s="21" t="s">
        <v>245</v>
      </c>
      <c r="I672" s="23">
        <v>0</v>
      </c>
      <c r="J672" s="24">
        <v>0</v>
      </c>
      <c r="K672" s="32">
        <v>0</v>
      </c>
      <c r="L672" s="24">
        <v>0</v>
      </c>
      <c r="M672" s="34"/>
      <c r="N672" s="34"/>
      <c r="O672" s="22" t="str">
        <f>IF(ISNA(VLOOKUP(Table_master_data[[#This Row],[Pick]],Table2[#All],2,FALSE)),"-",VLOOKUP(Table_master_data[[#This Row],[Pick]],Table2[#All],2,FALSE))</f>
        <v>-</v>
      </c>
      <c r="P672" s="22"/>
    </row>
    <row r="673" spans="2:16" x14ac:dyDescent="0.25">
      <c r="B673" s="21">
        <v>595</v>
      </c>
      <c r="C673" s="21" t="s">
        <v>749</v>
      </c>
      <c r="D673" s="21" t="s">
        <v>179</v>
      </c>
      <c r="E673" s="21" t="s">
        <v>192</v>
      </c>
      <c r="F673" s="25">
        <v>0</v>
      </c>
      <c r="G673" s="26">
        <v>4.5</v>
      </c>
      <c r="H673" s="21" t="s">
        <v>243</v>
      </c>
      <c r="I673" s="23">
        <v>1</v>
      </c>
      <c r="J673" s="24">
        <v>0</v>
      </c>
      <c r="K673" s="32">
        <v>0</v>
      </c>
      <c r="L673" s="24">
        <v>0</v>
      </c>
      <c r="M673" s="34"/>
      <c r="N673" s="34"/>
      <c r="O673" s="22" t="str">
        <f>IF(ISNA(VLOOKUP(Table_master_data[[#This Row],[Pick]],Table2[#All],2,FALSE)),"-",VLOOKUP(Table_master_data[[#This Row],[Pick]],Table2[#All],2,FALSE))</f>
        <v>-</v>
      </c>
      <c r="P673" s="22"/>
    </row>
    <row r="674" spans="2:16" x14ac:dyDescent="0.25">
      <c r="B674" s="21">
        <v>280</v>
      </c>
      <c r="C674" s="21" t="s">
        <v>424</v>
      </c>
      <c r="D674" s="21" t="s">
        <v>179</v>
      </c>
      <c r="E674" s="21" t="s">
        <v>188</v>
      </c>
      <c r="F674" s="25">
        <v>0</v>
      </c>
      <c r="G674" s="26">
        <v>4.5</v>
      </c>
      <c r="H674" s="21" t="s">
        <v>245</v>
      </c>
      <c r="I674" s="23">
        <v>0</v>
      </c>
      <c r="J674" s="24">
        <v>0</v>
      </c>
      <c r="K674" s="32">
        <v>0</v>
      </c>
      <c r="L674" s="24">
        <v>0</v>
      </c>
      <c r="M674" s="34"/>
      <c r="N674" s="34"/>
      <c r="O674" s="22" t="str">
        <f>IF(ISNA(VLOOKUP(Table_master_data[[#This Row],[Pick]],Table2[#All],2,FALSE)),"-",VLOOKUP(Table_master_data[[#This Row],[Pick]],Table2[#All],2,FALSE))</f>
        <v>-</v>
      </c>
      <c r="P674" s="22"/>
    </row>
    <row r="675" spans="2:16" x14ac:dyDescent="0.25">
      <c r="B675" s="21">
        <v>248</v>
      </c>
      <c r="C675" s="21" t="s">
        <v>516</v>
      </c>
      <c r="D675" s="21" t="s">
        <v>179</v>
      </c>
      <c r="E675" s="21" t="s">
        <v>187</v>
      </c>
      <c r="F675" s="25">
        <v>0</v>
      </c>
      <c r="G675" s="26">
        <v>4.5</v>
      </c>
      <c r="H675" s="21" t="s">
        <v>245</v>
      </c>
      <c r="I675" s="23">
        <v>0</v>
      </c>
      <c r="J675" s="24">
        <v>0</v>
      </c>
      <c r="K675" s="32">
        <v>0</v>
      </c>
      <c r="L675" s="24">
        <v>0</v>
      </c>
      <c r="M675" s="34"/>
      <c r="N675" s="34"/>
      <c r="O675" s="22" t="str">
        <f>IF(ISNA(VLOOKUP(Table_master_data[[#This Row],[Pick]],Table2[#All],2,FALSE)),"-",VLOOKUP(Table_master_data[[#This Row],[Pick]],Table2[#All],2,FALSE))</f>
        <v>-</v>
      </c>
      <c r="P675" s="22"/>
    </row>
    <row r="676" spans="2:16" x14ac:dyDescent="0.25">
      <c r="B676" s="21">
        <v>133</v>
      </c>
      <c r="C676" s="21" t="s">
        <v>407</v>
      </c>
      <c r="D676" s="21" t="s">
        <v>179</v>
      </c>
      <c r="E676" s="21" t="s">
        <v>183</v>
      </c>
      <c r="F676" s="25">
        <v>0</v>
      </c>
      <c r="G676" s="26">
        <v>4.5</v>
      </c>
      <c r="H676" s="21" t="s">
        <v>243</v>
      </c>
      <c r="I676" s="23">
        <v>1</v>
      </c>
      <c r="J676" s="24">
        <v>0</v>
      </c>
      <c r="K676" s="32">
        <v>0</v>
      </c>
      <c r="L676" s="24">
        <v>0</v>
      </c>
      <c r="M676" s="34"/>
      <c r="N676" s="34"/>
      <c r="O676" s="22" t="str">
        <f>IF(ISNA(VLOOKUP(Table_master_data[[#This Row],[Pick]],Table2[#All],2,FALSE)),"-",VLOOKUP(Table_master_data[[#This Row],[Pick]],Table2[#All],2,FALSE))</f>
        <v>-</v>
      </c>
      <c r="P676" s="22"/>
    </row>
    <row r="677" spans="2:16" x14ac:dyDescent="0.25">
      <c r="B677" s="21">
        <v>89</v>
      </c>
      <c r="C677" s="21" t="s">
        <v>401</v>
      </c>
      <c r="D677" s="21" t="s">
        <v>179</v>
      </c>
      <c r="E677" s="21" t="s">
        <v>190</v>
      </c>
      <c r="F677" s="25">
        <v>10</v>
      </c>
      <c r="G677" s="26">
        <v>5</v>
      </c>
      <c r="H677" s="21" t="s">
        <v>243</v>
      </c>
      <c r="I677" s="23">
        <v>1</v>
      </c>
      <c r="J677" s="24">
        <v>0</v>
      </c>
      <c r="K677" s="32">
        <v>0</v>
      </c>
      <c r="L677" s="24">
        <v>0</v>
      </c>
      <c r="M677" s="34"/>
      <c r="N677" s="34"/>
      <c r="O677" s="22" t="str">
        <f>IF(ISNA(VLOOKUP(Table_master_data[[#This Row],[Pick]],Table2[#All],2,FALSE)),"-",VLOOKUP(Table_master_data[[#This Row],[Pick]],Table2[#All],2,FALSE))</f>
        <v>-</v>
      </c>
      <c r="P677" s="22"/>
    </row>
    <row r="678" spans="2:16" x14ac:dyDescent="0.25">
      <c r="B678" s="21">
        <v>550</v>
      </c>
      <c r="C678" s="21" t="s">
        <v>780</v>
      </c>
      <c r="D678" s="21" t="s">
        <v>179</v>
      </c>
      <c r="E678" s="21" t="s">
        <v>802</v>
      </c>
      <c r="F678" s="25">
        <v>0</v>
      </c>
      <c r="G678" s="26">
        <v>5</v>
      </c>
      <c r="H678" s="21" t="s">
        <v>243</v>
      </c>
      <c r="I678" s="23">
        <v>1</v>
      </c>
      <c r="J678" s="24">
        <v>0</v>
      </c>
      <c r="K678" s="32">
        <v>0</v>
      </c>
      <c r="L678" s="24">
        <v>0</v>
      </c>
      <c r="M678" s="34"/>
      <c r="N678" s="34"/>
      <c r="O678" s="22" t="str">
        <f>IF(ISNA(VLOOKUP(Table_master_data[[#This Row],[Pick]],Table2[#All],2,FALSE)),"-",VLOOKUP(Table_master_data[[#This Row],[Pick]],Table2[#All],2,FALSE))</f>
        <v>-</v>
      </c>
      <c r="P678" s="22"/>
    </row>
    <row r="679" spans="2:16" x14ac:dyDescent="0.25">
      <c r="B679" s="21">
        <v>451</v>
      </c>
      <c r="C679" s="21" t="s">
        <v>24</v>
      </c>
      <c r="D679" s="21" t="s">
        <v>179</v>
      </c>
      <c r="E679" s="21" t="s">
        <v>193</v>
      </c>
      <c r="F679" s="25">
        <v>95</v>
      </c>
      <c r="G679" s="26">
        <v>7</v>
      </c>
      <c r="H679" s="21" t="s">
        <v>245</v>
      </c>
      <c r="I679" s="23">
        <v>0</v>
      </c>
      <c r="J679" s="24">
        <v>0</v>
      </c>
      <c r="K679" s="32">
        <v>0</v>
      </c>
      <c r="L679" s="24">
        <v>0</v>
      </c>
      <c r="M679" s="34"/>
      <c r="N679" s="34"/>
      <c r="O679" s="22" t="str">
        <f>IF(ISNA(VLOOKUP(Table_master_data[[#This Row],[Pick]],Table2[#All],2,FALSE)),"-",VLOOKUP(Table_master_data[[#This Row],[Pick]],Table2[#All],2,FALSE))</f>
        <v>-</v>
      </c>
      <c r="P679" s="22"/>
    </row>
    <row r="680" spans="2:16" x14ac:dyDescent="0.25">
      <c r="B680" s="21">
        <v>281</v>
      </c>
      <c r="C680" s="21" t="s">
        <v>596</v>
      </c>
      <c r="D680" s="21" t="s">
        <v>179</v>
      </c>
      <c r="E680" s="21" t="s">
        <v>188</v>
      </c>
      <c r="F680" s="25">
        <v>0</v>
      </c>
      <c r="G680" s="26">
        <v>4.5</v>
      </c>
      <c r="H680" s="21" t="s">
        <v>243</v>
      </c>
      <c r="I680" s="23">
        <v>1</v>
      </c>
      <c r="J680" s="24">
        <v>0</v>
      </c>
      <c r="K680" s="32">
        <v>0</v>
      </c>
      <c r="L680" s="24">
        <v>0</v>
      </c>
      <c r="M680" s="34"/>
      <c r="N680" s="34"/>
      <c r="O680" s="22" t="str">
        <f>IF(ISNA(VLOOKUP(Table_master_data[[#This Row],[Pick]],Table2[#All],2,FALSE)),"-",VLOOKUP(Table_master_data[[#This Row],[Pick]],Table2[#All],2,FALSE))</f>
        <v>-</v>
      </c>
      <c r="P680" s="22"/>
    </row>
    <row r="681" spans="2:16" x14ac:dyDescent="0.25">
      <c r="B681" s="21">
        <v>29</v>
      </c>
      <c r="C681" s="21" t="s">
        <v>551</v>
      </c>
      <c r="D681" s="21" t="s">
        <v>179</v>
      </c>
      <c r="E681" s="21" t="s">
        <v>194</v>
      </c>
      <c r="F681" s="25">
        <v>0</v>
      </c>
      <c r="G681" s="26">
        <v>4.5</v>
      </c>
      <c r="H681" s="21" t="s">
        <v>243</v>
      </c>
      <c r="I681" s="23">
        <v>1</v>
      </c>
      <c r="J681" s="24">
        <v>0</v>
      </c>
      <c r="K681" s="32">
        <v>0</v>
      </c>
      <c r="L681" s="24">
        <v>0</v>
      </c>
      <c r="M681" s="34"/>
      <c r="N681" s="34"/>
      <c r="O681" s="22" t="str">
        <f>IF(ISNA(VLOOKUP(Table_master_data[[#This Row],[Pick]],Table2[#All],2,FALSE)),"-",VLOOKUP(Table_master_data[[#This Row],[Pick]],Table2[#All],2,FALSE))</f>
        <v>-</v>
      </c>
      <c r="P681" s="22"/>
    </row>
    <row r="682" spans="2:16" x14ac:dyDescent="0.25">
      <c r="B682" s="21">
        <v>456</v>
      </c>
      <c r="C682" s="21" t="s">
        <v>18</v>
      </c>
      <c r="D682" s="21" t="s">
        <v>179</v>
      </c>
      <c r="E682" s="21" t="s">
        <v>193</v>
      </c>
      <c r="F682" s="25">
        <v>86</v>
      </c>
      <c r="G682" s="26">
        <v>6</v>
      </c>
      <c r="H682" s="21" t="s">
        <v>243</v>
      </c>
      <c r="I682" s="23">
        <v>1</v>
      </c>
      <c r="J682" s="24">
        <v>0</v>
      </c>
      <c r="K682" s="32">
        <v>0</v>
      </c>
      <c r="L682" s="24">
        <v>0</v>
      </c>
      <c r="M682" s="34"/>
      <c r="N682" s="34"/>
      <c r="O682" s="22" t="str">
        <f>IF(ISNA(VLOOKUP(Table_master_data[[#This Row],[Pick]],Table2[#All],2,FALSE)),"-",VLOOKUP(Table_master_data[[#This Row],[Pick]],Table2[#All],2,FALSE))</f>
        <v>-</v>
      </c>
      <c r="P682" s="22"/>
    </row>
    <row r="683" spans="2:16" x14ac:dyDescent="0.25">
      <c r="B683" s="21">
        <v>589</v>
      </c>
      <c r="C683" s="21" t="s">
        <v>355</v>
      </c>
      <c r="D683" s="21" t="s">
        <v>179</v>
      </c>
      <c r="E683" s="21" t="s">
        <v>192</v>
      </c>
      <c r="F683" s="25">
        <v>0</v>
      </c>
      <c r="G683" s="26">
        <v>5.5</v>
      </c>
      <c r="H683" s="21" t="s">
        <v>250</v>
      </c>
      <c r="I683" s="23">
        <v>0.75</v>
      </c>
      <c r="J683" s="24">
        <v>0</v>
      </c>
      <c r="K683" s="32">
        <v>0</v>
      </c>
      <c r="L683" s="24">
        <v>0</v>
      </c>
      <c r="M683" s="34"/>
      <c r="N683" s="34"/>
      <c r="O683" s="22" t="str">
        <f>IF(ISNA(VLOOKUP(Table_master_data[[#This Row],[Pick]],Table2[#All],2,FALSE)),"-",VLOOKUP(Table_master_data[[#This Row],[Pick]],Table2[#All],2,FALSE))</f>
        <v>-</v>
      </c>
      <c r="P683" s="22"/>
    </row>
    <row r="684" spans="2:16" x14ac:dyDescent="0.25">
      <c r="B684" s="21">
        <v>579</v>
      </c>
      <c r="C684" s="21" t="s">
        <v>2</v>
      </c>
      <c r="D684" s="21" t="s">
        <v>179</v>
      </c>
      <c r="E684" s="21" t="s">
        <v>192</v>
      </c>
      <c r="F684" s="25">
        <v>129</v>
      </c>
      <c r="G684" s="26">
        <v>8.5</v>
      </c>
      <c r="H684" s="21" t="s">
        <v>245</v>
      </c>
      <c r="I684" s="23">
        <v>0</v>
      </c>
      <c r="J684" s="24">
        <v>0</v>
      </c>
      <c r="K684" s="32">
        <v>0</v>
      </c>
      <c r="L684" s="24">
        <v>0</v>
      </c>
      <c r="M684" s="34"/>
      <c r="N684" s="34"/>
      <c r="O684" s="22" t="str">
        <f>IF(ISNA(VLOOKUP(Table_master_data[[#This Row],[Pick]],Table2[#All],2,FALSE)),"-",VLOOKUP(Table_master_data[[#This Row],[Pick]],Table2[#All],2,FALSE))</f>
        <v>-</v>
      </c>
      <c r="P684" s="22"/>
    </row>
    <row r="685" spans="2:16" x14ac:dyDescent="0.25">
      <c r="B685" s="21">
        <v>134</v>
      </c>
      <c r="C685" s="21" t="s">
        <v>568</v>
      </c>
      <c r="D685" s="21" t="s">
        <v>179</v>
      </c>
      <c r="E685" s="21" t="s">
        <v>183</v>
      </c>
      <c r="F685" s="25">
        <v>1</v>
      </c>
      <c r="G685" s="26">
        <v>4.5</v>
      </c>
      <c r="H685" s="21" t="s">
        <v>245</v>
      </c>
      <c r="I685" s="23">
        <v>0</v>
      </c>
      <c r="J685" s="24">
        <v>0</v>
      </c>
      <c r="K685" s="32">
        <v>0</v>
      </c>
      <c r="L685" s="24">
        <v>0</v>
      </c>
      <c r="M685" s="34"/>
      <c r="N685" s="34"/>
      <c r="O685" s="22" t="str">
        <f>IF(ISNA(VLOOKUP(Table_master_data[[#This Row],[Pick]],Table2[#All],2,FALSE)),"-",VLOOKUP(Table_master_data[[#This Row],[Pick]],Table2[#All],2,FALSE))</f>
        <v>-</v>
      </c>
      <c r="P685" s="22"/>
    </row>
    <row r="686" spans="2:16" x14ac:dyDescent="0.25">
      <c r="B686" s="21">
        <v>282</v>
      </c>
      <c r="C686" s="21" t="s">
        <v>612</v>
      </c>
      <c r="D686" s="21" t="s">
        <v>179</v>
      </c>
      <c r="E686" s="21" t="s">
        <v>188</v>
      </c>
      <c r="F686" s="25">
        <v>0</v>
      </c>
      <c r="G686" s="26">
        <v>4.5</v>
      </c>
      <c r="H686" s="21" t="s">
        <v>243</v>
      </c>
      <c r="I686" s="23">
        <v>1</v>
      </c>
      <c r="J686" s="24">
        <v>0</v>
      </c>
      <c r="K686" s="32">
        <v>0</v>
      </c>
      <c r="L686" s="24">
        <v>0</v>
      </c>
      <c r="M686" s="34"/>
      <c r="N686" s="34"/>
      <c r="O686" s="22" t="str">
        <f>IF(ISNA(VLOOKUP(Table_master_data[[#This Row],[Pick]],Table2[#All],2,FALSE)),"-",VLOOKUP(Table_master_data[[#This Row],[Pick]],Table2[#All],2,FALSE))</f>
        <v>-</v>
      </c>
      <c r="P686" s="22"/>
    </row>
    <row r="687" spans="2:16" x14ac:dyDescent="0.25">
      <c r="B687" s="21">
        <v>172</v>
      </c>
      <c r="C687" s="21" t="s">
        <v>521</v>
      </c>
      <c r="D687" s="21" t="s">
        <v>179</v>
      </c>
      <c r="E687" s="21" t="s">
        <v>373</v>
      </c>
      <c r="F687" s="25">
        <v>0</v>
      </c>
      <c r="G687" s="26">
        <v>5</v>
      </c>
      <c r="H687" s="21" t="s">
        <v>250</v>
      </c>
      <c r="I687" s="23">
        <v>0.5</v>
      </c>
      <c r="J687" s="24">
        <v>0</v>
      </c>
      <c r="K687" s="32">
        <v>0</v>
      </c>
      <c r="L687" s="24">
        <v>0</v>
      </c>
      <c r="M687" s="34"/>
      <c r="N687" s="34"/>
      <c r="O687" s="22" t="str">
        <f>IF(ISNA(VLOOKUP(Table_master_data[[#This Row],[Pick]],Table2[#All],2,FALSE)),"-",VLOOKUP(Table_master_data[[#This Row],[Pick]],Table2[#All],2,FALSE))</f>
        <v>-</v>
      </c>
      <c r="P687" s="22"/>
    </row>
    <row r="688" spans="2:16" x14ac:dyDescent="0.25">
      <c r="B688" s="21">
        <v>498</v>
      </c>
      <c r="C688" s="21" t="s">
        <v>47</v>
      </c>
      <c r="D688" s="21" t="s">
        <v>179</v>
      </c>
      <c r="E688" s="21" t="s">
        <v>186</v>
      </c>
      <c r="F688" s="25">
        <v>0</v>
      </c>
      <c r="G688" s="26">
        <v>4.5</v>
      </c>
      <c r="H688" s="21" t="s">
        <v>245</v>
      </c>
      <c r="I688" s="23">
        <v>0</v>
      </c>
      <c r="J688" s="24">
        <v>0</v>
      </c>
      <c r="K688" s="32">
        <v>0</v>
      </c>
      <c r="L688" s="24">
        <v>0</v>
      </c>
      <c r="M688" s="34"/>
      <c r="N688" s="34"/>
      <c r="O688" s="22" t="str">
        <f>IF(ISNA(VLOOKUP(Table_master_data[[#This Row],[Pick]],Table2[#All],2,FALSE)),"-",VLOOKUP(Table_master_data[[#This Row],[Pick]],Table2[#All],2,FALSE))</f>
        <v>-</v>
      </c>
      <c r="P688" s="22"/>
    </row>
    <row r="689" spans="2:16" x14ac:dyDescent="0.25">
      <c r="B689" s="21">
        <v>174</v>
      </c>
      <c r="C689" s="21" t="s">
        <v>549</v>
      </c>
      <c r="D689" s="21" t="s">
        <v>179</v>
      </c>
      <c r="E689" s="21" t="s">
        <v>373</v>
      </c>
      <c r="F689" s="25">
        <v>0</v>
      </c>
      <c r="G689" s="26">
        <v>5</v>
      </c>
      <c r="H689" s="21" t="s">
        <v>243</v>
      </c>
      <c r="I689" s="23">
        <v>1</v>
      </c>
      <c r="J689" s="24">
        <v>0</v>
      </c>
      <c r="K689" s="32">
        <v>0</v>
      </c>
      <c r="L689" s="24">
        <v>0</v>
      </c>
      <c r="M689" s="34"/>
      <c r="N689" s="34"/>
      <c r="O689" s="22" t="str">
        <f>IF(ISNA(VLOOKUP(Table_master_data[[#This Row],[Pick]],Table2[#All],2,FALSE)),"-",VLOOKUP(Table_master_data[[#This Row],[Pick]],Table2[#All],2,FALSE))</f>
        <v>-</v>
      </c>
      <c r="P689" s="22"/>
    </row>
    <row r="690" spans="2:16" x14ac:dyDescent="0.25">
      <c r="B690" s="21">
        <v>63</v>
      </c>
      <c r="C690" s="21" t="s">
        <v>328</v>
      </c>
      <c r="D690" s="21" t="s">
        <v>179</v>
      </c>
      <c r="E690" s="21" t="s">
        <v>191</v>
      </c>
      <c r="F690" s="25">
        <v>0</v>
      </c>
      <c r="G690" s="26">
        <v>4.5</v>
      </c>
      <c r="H690" s="21" t="s">
        <v>243</v>
      </c>
      <c r="I690" s="23">
        <v>1</v>
      </c>
      <c r="J690" s="24">
        <v>0</v>
      </c>
      <c r="K690" s="32">
        <v>0</v>
      </c>
      <c r="L690" s="24">
        <v>0</v>
      </c>
      <c r="M690" s="34"/>
      <c r="N690" s="34"/>
      <c r="O690" s="22" t="str">
        <f>IF(ISNA(VLOOKUP(Table_master_data[[#This Row],[Pick]],Table2[#All],2,FALSE)),"-",VLOOKUP(Table_master_data[[#This Row],[Pick]],Table2[#All],2,FALSE))</f>
        <v>-</v>
      </c>
      <c r="P690" s="22"/>
    </row>
    <row r="691" spans="2:16" x14ac:dyDescent="0.25">
      <c r="B691" s="21"/>
      <c r="C691" s="37" t="s">
        <v>843</v>
      </c>
      <c r="D691" s="37"/>
      <c r="E691" s="37"/>
      <c r="F691" s="25"/>
      <c r="G691" s="26"/>
      <c r="H691" s="37"/>
      <c r="I691" s="23"/>
      <c r="J691" s="24"/>
      <c r="K691" s="32"/>
      <c r="L691" s="24"/>
      <c r="M691" s="34"/>
      <c r="N691" s="34"/>
      <c r="O691" s="22" t="str">
        <f>IF(ISNA(VLOOKUP(Table_master_data[[#This Row],[Pick]],Table2[#All],2,FALSE)),"-",VLOOKUP(Table_master_data[[#This Row],[Pick]],Table2[#All],2,FALSE))</f>
        <v>-</v>
      </c>
      <c r="P691" s="22" t="s">
        <v>840</v>
      </c>
    </row>
  </sheetData>
  <mergeCells count="1">
    <mergeCell ref="B5:C5"/>
  </mergeCells>
  <conditionalFormatting sqref="B26:O26">
    <cfRule type="expression" dxfId="9" priority="31">
      <formula>IF(AND($P27&lt;&gt;"Andy",$P27&lt;&gt;""),TRUE,FALSE)</formula>
    </cfRule>
    <cfRule type="expression" dxfId="8" priority="33">
      <formula>IF($P27="Andy",TRUE,FALSE)</formula>
    </cfRule>
  </conditionalFormatting>
  <conditionalFormatting sqref="B26:O27">
    <cfRule type="expression" dxfId="7" priority="32">
      <formula>IF($H26&lt;&gt;"available",TRUE,FALSE)</formula>
    </cfRule>
  </conditionalFormatting>
  <conditionalFormatting sqref="B27:O27">
    <cfRule type="expression" dxfId="6" priority="34">
      <formula>IF(AND(#REF!&lt;&gt;"Andy",#REF!&lt;&gt;""),TRUE,FALSE)</formula>
    </cfRule>
    <cfRule type="expression" dxfId="5" priority="36">
      <formula>IF(#REF!="Andy",TRUE,FALSE)</formula>
    </cfRule>
  </conditionalFormatting>
  <conditionalFormatting sqref="B10:P25 P10:P684 B28:P690">
    <cfRule type="expression" dxfId="4" priority="22">
      <formula>IF(AND($P10&lt;&gt;"Andy",$P10&lt;&gt;""),TRUE,FALSE)</formula>
    </cfRule>
    <cfRule type="expression" dxfId="3" priority="23">
      <formula>IF($H10&lt;&gt;"available",TRUE,FALSE)</formula>
    </cfRule>
    <cfRule type="expression" dxfId="2" priority="24">
      <formula>IF($P10="Andy",TRUE,FALSE)</formula>
    </cfRule>
  </conditionalFormatting>
  <conditionalFormatting sqref="P27">
    <cfRule type="expression" dxfId="1" priority="29">
      <formula>IF($H26&lt;&gt;"available",TRUE,FALSE)</formula>
    </cfRule>
    <cfRule type="expression" dxfId="0" priority="30">
      <formula>IF($P27="Andy",TRUE,FALSE)</formula>
    </cfRule>
  </conditionalFormatting>
  <dataValidations count="1">
    <dataValidation type="list" allowBlank="1" showInputMessage="1" showErrorMessage="1" sqref="P10:P691" xr:uid="{FFB37195-AFDA-4C48-B928-BB0D4274C279}">
      <formula1>"Andy, Gav, Gordon, James, Keith, Simon, Steven, Walid"</formula1>
    </dataValidation>
  </dataValidations>
  <pageMargins left="0.7" right="0.7" top="0.75" bottom="0.75" header="0.3" footer="0.3"/>
  <pageSetup paperSize="9" orientation="portrait" horizontalDpi="300" verticalDpi="300"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344AB-24F4-4408-A9BC-83B9556CEF02}">
  <sheetPr>
    <tabColor rgb="FF37003C"/>
  </sheetPr>
  <dimension ref="A1:E20"/>
  <sheetViews>
    <sheetView showGridLines="0" showRowColHeaders="0" zoomScaleNormal="100" workbookViewId="0">
      <selection activeCell="C16" sqref="C16"/>
    </sheetView>
  </sheetViews>
  <sheetFormatPr defaultColWidth="0" defaultRowHeight="13.2" zeroHeight="1" x14ac:dyDescent="0.25"/>
  <cols>
    <col min="1" max="1" width="2.6640625" style="1" customWidth="1"/>
    <col min="2" max="2" width="8.6640625" style="1" customWidth="1"/>
    <col min="3" max="3" width="30.6640625" style="1" customWidth="1"/>
    <col min="4" max="4" width="8.33203125" style="1" customWidth="1"/>
    <col min="5" max="5" width="2.6640625" style="1" customWidth="1"/>
    <col min="6" max="16384" width="2.6640625" style="1" hidden="1"/>
  </cols>
  <sheetData>
    <row r="1" spans="2:4" x14ac:dyDescent="0.25"/>
    <row r="2" spans="2:4" ht="75" customHeight="1" x14ac:dyDescent="0.25">
      <c r="B2" s="3" t="s">
        <v>207</v>
      </c>
      <c r="C2" s="3"/>
    </row>
    <row r="3" spans="2:4" x14ac:dyDescent="0.25"/>
    <row r="4" spans="2:4" x14ac:dyDescent="0.25">
      <c r="B4" s="4" t="s">
        <v>195</v>
      </c>
      <c r="C4" s="2" t="s">
        <v>208</v>
      </c>
      <c r="D4" s="4" t="s">
        <v>206</v>
      </c>
    </row>
    <row r="5" spans="2:4" x14ac:dyDescent="0.25">
      <c r="B5" s="5">
        <v>1</v>
      </c>
      <c r="C5" s="1" t="s">
        <v>196</v>
      </c>
      <c r="D5" s="5">
        <v>8</v>
      </c>
    </row>
    <row r="6" spans="2:4" x14ac:dyDescent="0.25">
      <c r="B6" s="5">
        <v>2</v>
      </c>
      <c r="C6" s="1" t="s">
        <v>197</v>
      </c>
      <c r="D6" s="5">
        <v>9</v>
      </c>
    </row>
    <row r="7" spans="2:4" x14ac:dyDescent="0.25">
      <c r="B7" s="5">
        <v>3</v>
      </c>
      <c r="C7" s="1" t="s">
        <v>198</v>
      </c>
      <c r="D7" s="5">
        <v>24</v>
      </c>
    </row>
    <row r="8" spans="2:4" x14ac:dyDescent="0.25">
      <c r="B8" s="5">
        <v>4</v>
      </c>
      <c r="C8" s="1" t="s">
        <v>211</v>
      </c>
      <c r="D8" s="5">
        <v>25</v>
      </c>
    </row>
    <row r="9" spans="2:4" x14ac:dyDescent="0.25">
      <c r="B9" s="5">
        <v>5</v>
      </c>
      <c r="C9" s="1" t="s">
        <v>213</v>
      </c>
      <c r="D9" s="5">
        <f>D7+16</f>
        <v>40</v>
      </c>
    </row>
    <row r="10" spans="2:4" x14ac:dyDescent="0.25">
      <c r="B10" s="5">
        <v>6</v>
      </c>
      <c r="C10" s="1" t="s">
        <v>212</v>
      </c>
      <c r="D10" s="5">
        <f>D9+1</f>
        <v>41</v>
      </c>
    </row>
    <row r="11" spans="2:4" x14ac:dyDescent="0.25">
      <c r="B11" s="5">
        <v>7</v>
      </c>
      <c r="C11" s="1" t="s">
        <v>201</v>
      </c>
      <c r="D11" s="5">
        <f>D9+16</f>
        <v>56</v>
      </c>
    </row>
    <row r="12" spans="2:4" x14ac:dyDescent="0.25">
      <c r="B12" s="5">
        <v>8</v>
      </c>
      <c r="C12" s="1" t="s">
        <v>199</v>
      </c>
      <c r="D12" s="5">
        <f>D11+1</f>
        <v>57</v>
      </c>
    </row>
    <row r="13" spans="2:4" x14ac:dyDescent="0.25">
      <c r="B13" s="5">
        <v>9</v>
      </c>
      <c r="C13" s="1" t="s">
        <v>202</v>
      </c>
      <c r="D13" s="5">
        <f>D11+16</f>
        <v>72</v>
      </c>
    </row>
    <row r="14" spans="2:4" x14ac:dyDescent="0.25">
      <c r="B14" s="5">
        <v>10</v>
      </c>
      <c r="C14" s="1" t="s">
        <v>202</v>
      </c>
      <c r="D14" s="5">
        <f>D13+1</f>
        <v>73</v>
      </c>
    </row>
    <row r="15" spans="2:4" x14ac:dyDescent="0.25">
      <c r="B15" s="5">
        <v>11</v>
      </c>
      <c r="C15" s="1" t="s">
        <v>202</v>
      </c>
      <c r="D15" s="5">
        <f>D13+16</f>
        <v>88</v>
      </c>
    </row>
    <row r="16" spans="2:4" x14ac:dyDescent="0.25">
      <c r="B16" s="5">
        <v>12</v>
      </c>
      <c r="C16" s="1" t="s">
        <v>203</v>
      </c>
      <c r="D16" s="5">
        <f>D15+1</f>
        <v>89</v>
      </c>
    </row>
    <row r="17" spans="2:4" x14ac:dyDescent="0.25">
      <c r="B17" s="5">
        <v>13</v>
      </c>
      <c r="C17" s="1" t="s">
        <v>205</v>
      </c>
      <c r="D17" s="5">
        <f>D15+16</f>
        <v>104</v>
      </c>
    </row>
    <row r="18" spans="2:4" x14ac:dyDescent="0.25">
      <c r="B18" s="5">
        <v>14</v>
      </c>
      <c r="C18" s="1" t="s">
        <v>204</v>
      </c>
      <c r="D18" s="5">
        <f>D17+1</f>
        <v>105</v>
      </c>
    </row>
    <row r="19" spans="2:4" x14ac:dyDescent="0.25">
      <c r="B19" s="5">
        <v>15</v>
      </c>
      <c r="C19" s="1" t="s">
        <v>200</v>
      </c>
      <c r="D19" s="5">
        <f>D17+16</f>
        <v>120</v>
      </c>
    </row>
    <row r="20" spans="2:4" x14ac:dyDescent="0.25"/>
  </sheetData>
  <phoneticPr fontId="7" type="noConversion"/>
  <pageMargins left="0.19685039370078741" right="0.19685039370078741" top="0.19685039370078741" bottom="0.19685039370078741" header="0.19685039370078741" footer="0.19685039370078741"/>
  <pageSetup paperSize="9" orientation="landscape" r:id="rId1"/>
  <headerFooter>
    <oddHeader>&amp;L&amp;"Arial"&amp;12&amp;K000000 OFFICIAL&amp;1#_x000D_</oddHeader>
    <oddFooter>&amp;L_x000D_&amp;1#&amp;"Arial"&amp;12&amp;K000000 OFFICIAL</oddFoot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762C8-85A1-4A94-9F76-759A878D9E1B}">
  <sheetPr>
    <tabColor rgb="FF37003C"/>
  </sheetPr>
  <dimension ref="A2:AF1368"/>
  <sheetViews>
    <sheetView showGridLines="0" showRowColHeaders="0" workbookViewId="0"/>
  </sheetViews>
  <sheetFormatPr defaultColWidth="0" defaultRowHeight="13.2" x14ac:dyDescent="0.25"/>
  <cols>
    <col min="1" max="1" width="2.5546875" customWidth="1"/>
    <col min="2" max="3" width="20.6640625" customWidth="1"/>
    <col min="4" max="4" width="2.5546875" customWidth="1"/>
    <col min="5" max="6" width="20.6640625" customWidth="1"/>
    <col min="7" max="7" width="2.5546875" customWidth="1"/>
    <col min="8" max="8" width="5.109375" bestFit="1" customWidth="1"/>
    <col min="9" max="9" width="22.5546875" bestFit="1" customWidth="1"/>
    <col min="10" max="10" width="10.44140625" bestFit="1" customWidth="1"/>
    <col min="11" max="11" width="18.5546875" bestFit="1" customWidth="1"/>
    <col min="12" max="12" width="2.5546875" customWidth="1"/>
    <col min="13" max="13" width="5.109375" bestFit="1" customWidth="1"/>
    <col min="14" max="14" width="12.33203125" bestFit="1" customWidth="1"/>
    <col min="15" max="15" width="10.44140625" bestFit="1" customWidth="1"/>
    <col min="16" max="16" width="13.6640625" bestFit="1" customWidth="1"/>
    <col min="17" max="17" width="2.5546875" customWidth="1"/>
    <col min="18" max="18" width="5.109375" bestFit="1" customWidth="1"/>
    <col min="19" max="19" width="22.5546875" bestFit="1" customWidth="1"/>
    <col min="20" max="20" width="10.44140625" bestFit="1" customWidth="1"/>
    <col min="21" max="21" width="14.44140625" bestFit="1" customWidth="1"/>
    <col min="22" max="22" width="2.5546875" customWidth="1"/>
    <col min="23" max="32" width="0" hidden="1" customWidth="1"/>
    <col min="33" max="16384" width="2.5546875" hidden="1"/>
  </cols>
  <sheetData>
    <row r="2" spans="2:21" ht="75" customHeight="1" x14ac:dyDescent="0.25">
      <c r="B2" s="3" t="s">
        <v>238</v>
      </c>
    </row>
    <row r="4" spans="2:21" x14ac:dyDescent="0.25">
      <c r="B4" s="20" t="s">
        <v>241</v>
      </c>
      <c r="C4" s="19"/>
      <c r="E4" s="20" t="s">
        <v>254</v>
      </c>
      <c r="F4" s="19"/>
      <c r="H4" s="20" t="s">
        <v>259</v>
      </c>
      <c r="I4" s="19"/>
      <c r="J4" s="19"/>
      <c r="K4" s="19"/>
      <c r="M4" s="20" t="s">
        <v>356</v>
      </c>
      <c r="N4" s="19"/>
      <c r="O4" s="19"/>
      <c r="P4" s="19"/>
      <c r="R4" s="20" t="s">
        <v>357</v>
      </c>
      <c r="S4" s="19"/>
      <c r="T4" s="19"/>
      <c r="U4" s="19"/>
    </row>
    <row r="6" spans="2:21" x14ac:dyDescent="0.25">
      <c r="B6" t="s">
        <v>239</v>
      </c>
      <c r="C6" t="s">
        <v>240</v>
      </c>
      <c r="E6" t="s">
        <v>239</v>
      </c>
      <c r="F6" t="s">
        <v>240</v>
      </c>
      <c r="H6" t="s">
        <v>260</v>
      </c>
      <c r="I6" t="s">
        <v>261</v>
      </c>
      <c r="J6" t="s">
        <v>208</v>
      </c>
      <c r="K6" t="s">
        <v>0</v>
      </c>
      <c r="M6" t="s">
        <v>260</v>
      </c>
      <c r="N6" t="s">
        <v>261</v>
      </c>
      <c r="O6" t="s">
        <v>208</v>
      </c>
      <c r="P6" t="s">
        <v>0</v>
      </c>
      <c r="R6" t="s">
        <v>260</v>
      </c>
      <c r="S6" t="s">
        <v>261</v>
      </c>
      <c r="T6" t="s">
        <v>208</v>
      </c>
      <c r="U6" t="s">
        <v>0</v>
      </c>
    </row>
    <row r="7" spans="2:21" x14ac:dyDescent="0.25">
      <c r="B7" t="s">
        <v>242</v>
      </c>
      <c r="C7" t="s">
        <v>243</v>
      </c>
      <c r="E7" t="s">
        <v>11</v>
      </c>
      <c r="F7" t="s">
        <v>258</v>
      </c>
      <c r="H7">
        <v>7</v>
      </c>
      <c r="I7" t="s">
        <v>385</v>
      </c>
      <c r="J7" t="s">
        <v>181</v>
      </c>
      <c r="K7" t="s">
        <v>263</v>
      </c>
      <c r="R7">
        <v>2</v>
      </c>
      <c r="S7" t="s">
        <v>156</v>
      </c>
      <c r="T7" t="s">
        <v>258</v>
      </c>
      <c r="U7" t="s">
        <v>263</v>
      </c>
    </row>
    <row r="8" spans="2:21" x14ac:dyDescent="0.25">
      <c r="B8" t="s">
        <v>244</v>
      </c>
      <c r="C8" t="s">
        <v>245</v>
      </c>
      <c r="E8" t="s">
        <v>255</v>
      </c>
      <c r="F8" t="s">
        <v>181</v>
      </c>
      <c r="H8">
        <v>13</v>
      </c>
      <c r="I8" t="s">
        <v>433</v>
      </c>
      <c r="J8" t="s">
        <v>181</v>
      </c>
      <c r="K8" t="s">
        <v>263</v>
      </c>
      <c r="R8">
        <v>2</v>
      </c>
      <c r="S8" t="s">
        <v>156</v>
      </c>
      <c r="T8" t="s">
        <v>258</v>
      </c>
      <c r="U8" t="s">
        <v>263</v>
      </c>
    </row>
    <row r="9" spans="2:21" x14ac:dyDescent="0.25">
      <c r="B9" t="s">
        <v>246</v>
      </c>
      <c r="C9" t="s">
        <v>250</v>
      </c>
      <c r="E9" t="s">
        <v>256</v>
      </c>
      <c r="F9" t="s">
        <v>179</v>
      </c>
      <c r="H9">
        <v>5</v>
      </c>
      <c r="I9" t="s">
        <v>28</v>
      </c>
      <c r="J9" t="s">
        <v>181</v>
      </c>
      <c r="K9" t="s">
        <v>263</v>
      </c>
      <c r="R9">
        <v>7</v>
      </c>
      <c r="S9" t="s">
        <v>385</v>
      </c>
      <c r="T9" t="s">
        <v>181</v>
      </c>
      <c r="U9" t="s">
        <v>263</v>
      </c>
    </row>
    <row r="10" spans="2:21" x14ac:dyDescent="0.25">
      <c r="B10" t="s">
        <v>247</v>
      </c>
      <c r="C10" t="s">
        <v>251</v>
      </c>
      <c r="E10" t="s">
        <v>257</v>
      </c>
      <c r="F10" t="s">
        <v>178</v>
      </c>
      <c r="H10">
        <v>8</v>
      </c>
      <c r="I10" t="s">
        <v>268</v>
      </c>
      <c r="J10" t="s">
        <v>181</v>
      </c>
      <c r="K10" t="s">
        <v>263</v>
      </c>
      <c r="R10">
        <v>7</v>
      </c>
      <c r="S10" t="s">
        <v>385</v>
      </c>
      <c r="T10" t="s">
        <v>181</v>
      </c>
      <c r="U10" t="s">
        <v>263</v>
      </c>
    </row>
    <row r="11" spans="2:21" x14ac:dyDescent="0.25">
      <c r="B11" t="s">
        <v>248</v>
      </c>
      <c r="C11" t="s">
        <v>253</v>
      </c>
      <c r="H11">
        <v>14</v>
      </c>
      <c r="I11" t="s">
        <v>628</v>
      </c>
      <c r="J11" t="s">
        <v>181</v>
      </c>
      <c r="K11" t="s">
        <v>263</v>
      </c>
      <c r="R11">
        <v>13</v>
      </c>
      <c r="S11" t="s">
        <v>433</v>
      </c>
      <c r="T11" t="s">
        <v>181</v>
      </c>
      <c r="U11" t="s">
        <v>263</v>
      </c>
    </row>
    <row r="12" spans="2:21" x14ac:dyDescent="0.25">
      <c r="B12" t="s">
        <v>249</v>
      </c>
      <c r="C12" t="s">
        <v>252</v>
      </c>
      <c r="H12">
        <v>9</v>
      </c>
      <c r="I12" t="s">
        <v>270</v>
      </c>
      <c r="J12" t="s">
        <v>181</v>
      </c>
      <c r="K12" t="s">
        <v>263</v>
      </c>
      <c r="R12">
        <v>13</v>
      </c>
      <c r="S12" t="s">
        <v>433</v>
      </c>
      <c r="T12" t="s">
        <v>181</v>
      </c>
      <c r="U12" t="s">
        <v>263</v>
      </c>
    </row>
    <row r="13" spans="2:21" x14ac:dyDescent="0.25">
      <c r="H13">
        <v>10</v>
      </c>
      <c r="I13" t="s">
        <v>579</v>
      </c>
      <c r="J13" t="s">
        <v>181</v>
      </c>
      <c r="K13" t="s">
        <v>263</v>
      </c>
      <c r="R13">
        <v>23</v>
      </c>
      <c r="S13" t="s">
        <v>71</v>
      </c>
      <c r="T13" t="s">
        <v>179</v>
      </c>
      <c r="U13" t="s">
        <v>263</v>
      </c>
    </row>
    <row r="14" spans="2:21" x14ac:dyDescent="0.25">
      <c r="H14">
        <v>662</v>
      </c>
      <c r="I14" t="s">
        <v>484</v>
      </c>
      <c r="J14" t="s">
        <v>181</v>
      </c>
      <c r="K14" t="s">
        <v>263</v>
      </c>
      <c r="R14">
        <v>23</v>
      </c>
      <c r="S14" t="s">
        <v>544</v>
      </c>
      <c r="T14" t="s">
        <v>179</v>
      </c>
      <c r="U14" t="s">
        <v>263</v>
      </c>
    </row>
    <row r="15" spans="2:21" x14ac:dyDescent="0.25">
      <c r="H15">
        <v>15</v>
      </c>
      <c r="I15" t="s">
        <v>510</v>
      </c>
      <c r="J15" t="s">
        <v>181</v>
      </c>
      <c r="K15" t="s">
        <v>263</v>
      </c>
      <c r="R15">
        <v>31</v>
      </c>
      <c r="S15" t="s">
        <v>269</v>
      </c>
      <c r="T15" t="s">
        <v>178</v>
      </c>
      <c r="U15" t="s">
        <v>263</v>
      </c>
    </row>
    <row r="16" spans="2:21" x14ac:dyDescent="0.25">
      <c r="H16">
        <v>6</v>
      </c>
      <c r="I16" t="s">
        <v>108</v>
      </c>
      <c r="J16" t="s">
        <v>181</v>
      </c>
      <c r="K16" t="s">
        <v>263</v>
      </c>
      <c r="R16">
        <v>31</v>
      </c>
      <c r="S16" t="s">
        <v>269</v>
      </c>
      <c r="T16" t="s">
        <v>178</v>
      </c>
      <c r="U16" t="s">
        <v>263</v>
      </c>
    </row>
    <row r="17" spans="8:21" x14ac:dyDescent="0.25">
      <c r="H17">
        <v>11</v>
      </c>
      <c r="I17" t="s">
        <v>47</v>
      </c>
      <c r="J17" t="s">
        <v>181</v>
      </c>
      <c r="K17" t="s">
        <v>263</v>
      </c>
      <c r="R17">
        <v>5</v>
      </c>
      <c r="S17" t="s">
        <v>28</v>
      </c>
      <c r="T17" t="s">
        <v>181</v>
      </c>
      <c r="U17" t="s">
        <v>263</v>
      </c>
    </row>
    <row r="18" spans="8:21" x14ac:dyDescent="0.25">
      <c r="H18">
        <v>12</v>
      </c>
      <c r="I18" t="s">
        <v>46</v>
      </c>
      <c r="J18" t="s">
        <v>181</v>
      </c>
      <c r="K18" t="s">
        <v>263</v>
      </c>
      <c r="R18">
        <v>5</v>
      </c>
      <c r="S18" t="s">
        <v>28</v>
      </c>
      <c r="T18" t="s">
        <v>181</v>
      </c>
      <c r="U18" t="s">
        <v>263</v>
      </c>
    </row>
    <row r="19" spans="8:21" x14ac:dyDescent="0.25">
      <c r="H19">
        <v>31</v>
      </c>
      <c r="I19" t="s">
        <v>269</v>
      </c>
      <c r="J19" t="s">
        <v>178</v>
      </c>
      <c r="K19" t="s">
        <v>263</v>
      </c>
      <c r="R19">
        <v>666</v>
      </c>
      <c r="S19" t="s">
        <v>652</v>
      </c>
      <c r="T19" t="s">
        <v>178</v>
      </c>
      <c r="U19" t="s">
        <v>263</v>
      </c>
    </row>
    <row r="20" spans="8:21" x14ac:dyDescent="0.25">
      <c r="H20">
        <v>666</v>
      </c>
      <c r="I20" t="s">
        <v>652</v>
      </c>
      <c r="J20" t="s">
        <v>178</v>
      </c>
      <c r="K20" t="s">
        <v>263</v>
      </c>
      <c r="R20">
        <v>666</v>
      </c>
      <c r="S20" t="s">
        <v>626</v>
      </c>
      <c r="T20" t="s">
        <v>178</v>
      </c>
      <c r="U20" t="s">
        <v>263</v>
      </c>
    </row>
    <row r="21" spans="8:21" x14ac:dyDescent="0.25">
      <c r="H21">
        <v>30</v>
      </c>
      <c r="I21" t="s">
        <v>32</v>
      </c>
      <c r="J21" t="s">
        <v>178</v>
      </c>
      <c r="K21" t="s">
        <v>263</v>
      </c>
      <c r="R21">
        <v>30</v>
      </c>
      <c r="S21" t="s">
        <v>32</v>
      </c>
      <c r="T21" t="s">
        <v>178</v>
      </c>
      <c r="U21" t="s">
        <v>263</v>
      </c>
    </row>
    <row r="22" spans="8:21" x14ac:dyDescent="0.25">
      <c r="H22">
        <v>2</v>
      </c>
      <c r="I22" t="s">
        <v>156</v>
      </c>
      <c r="J22" t="s">
        <v>258</v>
      </c>
      <c r="K22" t="s">
        <v>263</v>
      </c>
      <c r="R22">
        <v>30</v>
      </c>
      <c r="S22" t="s">
        <v>32</v>
      </c>
      <c r="T22" t="s">
        <v>178</v>
      </c>
      <c r="U22" t="s">
        <v>263</v>
      </c>
    </row>
    <row r="23" spans="8:21" x14ac:dyDescent="0.25">
      <c r="H23">
        <v>3</v>
      </c>
      <c r="I23" t="s">
        <v>386</v>
      </c>
      <c r="J23" t="s">
        <v>258</v>
      </c>
      <c r="K23" t="s">
        <v>263</v>
      </c>
      <c r="R23">
        <v>3</v>
      </c>
      <c r="S23" t="s">
        <v>386</v>
      </c>
      <c r="T23" t="s">
        <v>258</v>
      </c>
      <c r="U23" t="s">
        <v>263</v>
      </c>
    </row>
    <row r="24" spans="8:21" x14ac:dyDescent="0.25">
      <c r="H24">
        <v>1</v>
      </c>
      <c r="I24" t="s">
        <v>49</v>
      </c>
      <c r="J24" t="s">
        <v>258</v>
      </c>
      <c r="K24" t="s">
        <v>263</v>
      </c>
      <c r="R24">
        <v>3</v>
      </c>
      <c r="S24" t="s">
        <v>386</v>
      </c>
      <c r="T24" t="s">
        <v>258</v>
      </c>
      <c r="U24" t="s">
        <v>263</v>
      </c>
    </row>
    <row r="25" spans="8:21" x14ac:dyDescent="0.25">
      <c r="H25">
        <v>4</v>
      </c>
      <c r="I25" t="s">
        <v>543</v>
      </c>
      <c r="J25" t="s">
        <v>258</v>
      </c>
      <c r="K25" t="s">
        <v>263</v>
      </c>
      <c r="R25">
        <v>8</v>
      </c>
      <c r="S25" t="s">
        <v>268</v>
      </c>
      <c r="T25" t="s">
        <v>181</v>
      </c>
      <c r="U25" t="s">
        <v>263</v>
      </c>
    </row>
    <row r="26" spans="8:21" x14ac:dyDescent="0.25">
      <c r="H26">
        <v>23</v>
      </c>
      <c r="I26" t="s">
        <v>71</v>
      </c>
      <c r="J26" t="s">
        <v>179</v>
      </c>
      <c r="K26" t="s">
        <v>263</v>
      </c>
      <c r="R26">
        <v>8</v>
      </c>
      <c r="S26" t="s">
        <v>268</v>
      </c>
      <c r="T26" t="s">
        <v>181</v>
      </c>
      <c r="U26" t="s">
        <v>263</v>
      </c>
    </row>
    <row r="27" spans="8:21" x14ac:dyDescent="0.25">
      <c r="H27">
        <v>28</v>
      </c>
      <c r="I27" t="s">
        <v>546</v>
      </c>
      <c r="J27" t="s">
        <v>179</v>
      </c>
      <c r="K27" t="s">
        <v>263</v>
      </c>
      <c r="R27">
        <v>28</v>
      </c>
      <c r="S27" t="s">
        <v>546</v>
      </c>
      <c r="T27" t="s">
        <v>179</v>
      </c>
      <c r="U27" t="s">
        <v>263</v>
      </c>
    </row>
    <row r="28" spans="8:21" x14ac:dyDescent="0.25">
      <c r="H28">
        <v>18</v>
      </c>
      <c r="I28" t="s">
        <v>323</v>
      </c>
      <c r="J28" t="s">
        <v>179</v>
      </c>
      <c r="K28" t="s">
        <v>263</v>
      </c>
      <c r="R28">
        <v>28</v>
      </c>
      <c r="S28" t="s">
        <v>546</v>
      </c>
      <c r="T28" t="s">
        <v>179</v>
      </c>
      <c r="U28" t="s">
        <v>263</v>
      </c>
    </row>
    <row r="29" spans="8:21" x14ac:dyDescent="0.25">
      <c r="H29">
        <v>19</v>
      </c>
      <c r="I29" t="s">
        <v>13</v>
      </c>
      <c r="J29" t="s">
        <v>179</v>
      </c>
      <c r="K29" t="s">
        <v>263</v>
      </c>
      <c r="R29">
        <v>14</v>
      </c>
      <c r="S29" t="s">
        <v>628</v>
      </c>
      <c r="T29" t="s">
        <v>181</v>
      </c>
      <c r="U29" t="s">
        <v>263</v>
      </c>
    </row>
    <row r="30" spans="8:21" x14ac:dyDescent="0.25">
      <c r="H30">
        <v>22</v>
      </c>
      <c r="I30" t="s">
        <v>627</v>
      </c>
      <c r="J30" t="s">
        <v>179</v>
      </c>
      <c r="K30" t="s">
        <v>263</v>
      </c>
      <c r="R30">
        <v>14</v>
      </c>
      <c r="S30" t="s">
        <v>628</v>
      </c>
      <c r="T30" t="s">
        <v>181</v>
      </c>
      <c r="U30" t="s">
        <v>263</v>
      </c>
    </row>
    <row r="31" spans="8:21" x14ac:dyDescent="0.25">
      <c r="H31">
        <v>27</v>
      </c>
      <c r="I31" t="s">
        <v>169</v>
      </c>
      <c r="J31" t="s">
        <v>179</v>
      </c>
      <c r="K31" t="s">
        <v>263</v>
      </c>
      <c r="R31">
        <v>9</v>
      </c>
      <c r="S31" t="s">
        <v>270</v>
      </c>
      <c r="T31" t="s">
        <v>181</v>
      </c>
      <c r="U31" t="s">
        <v>263</v>
      </c>
    </row>
    <row r="32" spans="8:21" x14ac:dyDescent="0.25">
      <c r="H32">
        <v>24</v>
      </c>
      <c r="I32" t="s">
        <v>64</v>
      </c>
      <c r="J32" t="s">
        <v>179</v>
      </c>
      <c r="K32" t="s">
        <v>263</v>
      </c>
      <c r="R32">
        <v>9</v>
      </c>
      <c r="S32" t="s">
        <v>270</v>
      </c>
      <c r="T32" t="s">
        <v>181</v>
      </c>
      <c r="U32" t="s">
        <v>263</v>
      </c>
    </row>
    <row r="33" spans="8:21" x14ac:dyDescent="0.25">
      <c r="H33">
        <v>25</v>
      </c>
      <c r="I33" t="s">
        <v>387</v>
      </c>
      <c r="J33" t="s">
        <v>179</v>
      </c>
      <c r="K33" t="s">
        <v>263</v>
      </c>
      <c r="R33">
        <v>10</v>
      </c>
      <c r="S33" t="s">
        <v>579</v>
      </c>
      <c r="T33" t="s">
        <v>181</v>
      </c>
      <c r="U33" t="s">
        <v>263</v>
      </c>
    </row>
    <row r="34" spans="8:21" x14ac:dyDescent="0.25">
      <c r="H34">
        <v>17</v>
      </c>
      <c r="I34" t="s">
        <v>503</v>
      </c>
      <c r="J34" t="s">
        <v>179</v>
      </c>
      <c r="K34" t="s">
        <v>263</v>
      </c>
      <c r="R34">
        <v>10</v>
      </c>
      <c r="S34" t="s">
        <v>579</v>
      </c>
      <c r="T34" t="s">
        <v>181</v>
      </c>
      <c r="U34" t="s">
        <v>263</v>
      </c>
    </row>
    <row r="35" spans="8:21" x14ac:dyDescent="0.25">
      <c r="H35">
        <v>21</v>
      </c>
      <c r="I35" t="s">
        <v>91</v>
      </c>
      <c r="J35" t="s">
        <v>179</v>
      </c>
      <c r="K35" t="s">
        <v>263</v>
      </c>
      <c r="R35">
        <v>18</v>
      </c>
      <c r="S35" t="s">
        <v>323</v>
      </c>
      <c r="T35" t="s">
        <v>179</v>
      </c>
      <c r="U35" t="s">
        <v>263</v>
      </c>
    </row>
    <row r="36" spans="8:21" x14ac:dyDescent="0.25">
      <c r="H36">
        <v>16</v>
      </c>
      <c r="I36" t="s">
        <v>10</v>
      </c>
      <c r="J36" t="s">
        <v>179</v>
      </c>
      <c r="K36" t="s">
        <v>263</v>
      </c>
      <c r="R36">
        <v>18</v>
      </c>
      <c r="S36" t="s">
        <v>323</v>
      </c>
      <c r="T36" t="s">
        <v>179</v>
      </c>
      <c r="U36" t="s">
        <v>263</v>
      </c>
    </row>
    <row r="37" spans="8:21" x14ac:dyDescent="0.25">
      <c r="H37">
        <v>29</v>
      </c>
      <c r="I37" t="s">
        <v>551</v>
      </c>
      <c r="J37" t="s">
        <v>179</v>
      </c>
      <c r="K37" t="s">
        <v>263</v>
      </c>
      <c r="R37">
        <v>19</v>
      </c>
      <c r="S37" t="s">
        <v>13</v>
      </c>
      <c r="T37" t="s">
        <v>179</v>
      </c>
      <c r="U37" t="s">
        <v>263</v>
      </c>
    </row>
    <row r="38" spans="8:21" x14ac:dyDescent="0.25">
      <c r="H38">
        <v>20</v>
      </c>
      <c r="I38" t="s">
        <v>21</v>
      </c>
      <c r="J38" t="s">
        <v>179</v>
      </c>
      <c r="K38" t="s">
        <v>263</v>
      </c>
      <c r="R38">
        <v>19</v>
      </c>
      <c r="S38" t="s">
        <v>13</v>
      </c>
      <c r="T38" t="s">
        <v>179</v>
      </c>
      <c r="U38" t="s">
        <v>263</v>
      </c>
    </row>
    <row r="39" spans="8:21" x14ac:dyDescent="0.25">
      <c r="H39">
        <v>26</v>
      </c>
      <c r="I39" t="s">
        <v>588</v>
      </c>
      <c r="J39" t="s">
        <v>179</v>
      </c>
      <c r="K39" t="s">
        <v>263</v>
      </c>
      <c r="R39">
        <v>22</v>
      </c>
      <c r="S39" t="s">
        <v>627</v>
      </c>
      <c r="T39" t="s">
        <v>179</v>
      </c>
      <c r="U39" t="s">
        <v>263</v>
      </c>
    </row>
    <row r="40" spans="8:21" x14ac:dyDescent="0.25">
      <c r="H40">
        <v>42</v>
      </c>
      <c r="I40" t="s">
        <v>653</v>
      </c>
      <c r="J40" t="s">
        <v>181</v>
      </c>
      <c r="K40" t="s">
        <v>273</v>
      </c>
      <c r="R40">
        <v>22</v>
      </c>
      <c r="S40" t="s">
        <v>627</v>
      </c>
      <c r="T40" t="s">
        <v>179</v>
      </c>
      <c r="U40" t="s">
        <v>263</v>
      </c>
    </row>
    <row r="41" spans="8:21" x14ac:dyDescent="0.25">
      <c r="H41">
        <v>43</v>
      </c>
      <c r="I41" t="s">
        <v>282</v>
      </c>
      <c r="J41" t="s">
        <v>181</v>
      </c>
      <c r="K41" t="s">
        <v>273</v>
      </c>
      <c r="R41">
        <v>662</v>
      </c>
      <c r="S41" t="s">
        <v>484</v>
      </c>
      <c r="T41" t="s">
        <v>181</v>
      </c>
      <c r="U41" t="s">
        <v>263</v>
      </c>
    </row>
    <row r="42" spans="8:21" x14ac:dyDescent="0.25">
      <c r="H42">
        <v>44</v>
      </c>
      <c r="I42" t="s">
        <v>524</v>
      </c>
      <c r="J42" t="s">
        <v>181</v>
      </c>
      <c r="K42" t="s">
        <v>273</v>
      </c>
      <c r="R42">
        <v>662</v>
      </c>
      <c r="S42" t="s">
        <v>484</v>
      </c>
      <c r="T42" t="s">
        <v>181</v>
      </c>
      <c r="U42" t="s">
        <v>263</v>
      </c>
    </row>
    <row r="43" spans="8:21" x14ac:dyDescent="0.25">
      <c r="H43">
        <v>36</v>
      </c>
      <c r="I43" t="s">
        <v>51</v>
      </c>
      <c r="J43" t="s">
        <v>181</v>
      </c>
      <c r="K43" t="s">
        <v>273</v>
      </c>
      <c r="R43">
        <v>27</v>
      </c>
      <c r="S43" t="s">
        <v>169</v>
      </c>
      <c r="T43" t="s">
        <v>179</v>
      </c>
      <c r="U43" t="s">
        <v>263</v>
      </c>
    </row>
    <row r="44" spans="8:21" x14ac:dyDescent="0.25">
      <c r="H44">
        <v>37</v>
      </c>
      <c r="I44" t="s">
        <v>44</v>
      </c>
      <c r="J44" t="s">
        <v>181</v>
      </c>
      <c r="K44" t="s">
        <v>273</v>
      </c>
      <c r="R44">
        <v>27</v>
      </c>
      <c r="S44" t="s">
        <v>169</v>
      </c>
      <c r="T44" t="s">
        <v>179</v>
      </c>
      <c r="U44" t="s">
        <v>263</v>
      </c>
    </row>
    <row r="45" spans="8:21" x14ac:dyDescent="0.25">
      <c r="H45">
        <v>38</v>
      </c>
      <c r="I45" t="s">
        <v>152</v>
      </c>
      <c r="J45" t="s">
        <v>181</v>
      </c>
      <c r="K45" t="s">
        <v>273</v>
      </c>
      <c r="R45">
        <v>15</v>
      </c>
      <c r="S45" t="s">
        <v>510</v>
      </c>
      <c r="T45" t="s">
        <v>181</v>
      </c>
      <c r="U45" t="s">
        <v>263</v>
      </c>
    </row>
    <row r="46" spans="8:21" x14ac:dyDescent="0.25">
      <c r="H46">
        <v>39</v>
      </c>
      <c r="I46" t="s">
        <v>383</v>
      </c>
      <c r="J46" t="s">
        <v>181</v>
      </c>
      <c r="K46" t="s">
        <v>273</v>
      </c>
      <c r="R46">
        <v>15</v>
      </c>
      <c r="S46" t="s">
        <v>510</v>
      </c>
      <c r="T46" t="s">
        <v>181</v>
      </c>
      <c r="U46" t="s">
        <v>263</v>
      </c>
    </row>
    <row r="47" spans="8:21" x14ac:dyDescent="0.25">
      <c r="H47">
        <v>40</v>
      </c>
      <c r="I47" t="s">
        <v>74</v>
      </c>
      <c r="J47" t="s">
        <v>181</v>
      </c>
      <c r="K47" t="s">
        <v>273</v>
      </c>
      <c r="R47">
        <v>24</v>
      </c>
      <c r="S47" t="s">
        <v>64</v>
      </c>
      <c r="T47" t="s">
        <v>179</v>
      </c>
      <c r="U47" t="s">
        <v>263</v>
      </c>
    </row>
    <row r="48" spans="8:21" x14ac:dyDescent="0.25">
      <c r="H48">
        <v>41</v>
      </c>
      <c r="I48" t="s">
        <v>283</v>
      </c>
      <c r="J48" t="s">
        <v>181</v>
      </c>
      <c r="K48" t="s">
        <v>273</v>
      </c>
      <c r="R48">
        <v>25</v>
      </c>
      <c r="S48" t="s">
        <v>387</v>
      </c>
      <c r="T48" t="s">
        <v>179</v>
      </c>
      <c r="U48" t="s">
        <v>263</v>
      </c>
    </row>
    <row r="49" spans="8:21" x14ac:dyDescent="0.25">
      <c r="H49">
        <v>45</v>
      </c>
      <c r="I49" t="s">
        <v>388</v>
      </c>
      <c r="J49" t="s">
        <v>181</v>
      </c>
      <c r="K49" t="s">
        <v>273</v>
      </c>
      <c r="R49">
        <v>25</v>
      </c>
      <c r="S49" t="s">
        <v>387</v>
      </c>
      <c r="T49" t="s">
        <v>179</v>
      </c>
      <c r="U49" t="s">
        <v>263</v>
      </c>
    </row>
    <row r="50" spans="8:21" x14ac:dyDescent="0.25">
      <c r="H50">
        <v>46</v>
      </c>
      <c r="I50" t="s">
        <v>587</v>
      </c>
      <c r="J50" t="s">
        <v>181</v>
      </c>
      <c r="K50" t="s">
        <v>273</v>
      </c>
      <c r="R50">
        <v>24</v>
      </c>
      <c r="S50" t="s">
        <v>538</v>
      </c>
      <c r="T50" t="s">
        <v>179</v>
      </c>
      <c r="U50" t="s">
        <v>263</v>
      </c>
    </row>
    <row r="51" spans="8:21" x14ac:dyDescent="0.25">
      <c r="H51">
        <v>65</v>
      </c>
      <c r="I51" t="s">
        <v>550</v>
      </c>
      <c r="J51" t="s">
        <v>178</v>
      </c>
      <c r="K51" t="s">
        <v>273</v>
      </c>
      <c r="R51">
        <v>17</v>
      </c>
      <c r="S51" t="s">
        <v>503</v>
      </c>
      <c r="T51" t="s">
        <v>179</v>
      </c>
      <c r="U51" t="s">
        <v>263</v>
      </c>
    </row>
    <row r="52" spans="8:21" x14ac:dyDescent="0.25">
      <c r="H52">
        <v>64</v>
      </c>
      <c r="I52" t="s">
        <v>30</v>
      </c>
      <c r="J52" t="s">
        <v>178</v>
      </c>
      <c r="K52" t="s">
        <v>273</v>
      </c>
      <c r="R52">
        <v>1</v>
      </c>
      <c r="S52" t="s">
        <v>49</v>
      </c>
      <c r="T52" t="s">
        <v>258</v>
      </c>
      <c r="U52" t="s">
        <v>263</v>
      </c>
    </row>
    <row r="53" spans="8:21" x14ac:dyDescent="0.25">
      <c r="H53">
        <v>34</v>
      </c>
      <c r="I53" t="s">
        <v>389</v>
      </c>
      <c r="J53" t="s">
        <v>258</v>
      </c>
      <c r="K53" t="s">
        <v>273</v>
      </c>
      <c r="R53">
        <v>1</v>
      </c>
      <c r="S53" t="s">
        <v>49</v>
      </c>
      <c r="T53" t="s">
        <v>258</v>
      </c>
      <c r="U53" t="s">
        <v>263</v>
      </c>
    </row>
    <row r="54" spans="8:21" x14ac:dyDescent="0.25">
      <c r="H54">
        <v>33</v>
      </c>
      <c r="I54" t="s">
        <v>572</v>
      </c>
      <c r="J54" t="s">
        <v>258</v>
      </c>
      <c r="K54" t="s">
        <v>273</v>
      </c>
      <c r="R54">
        <v>21</v>
      </c>
      <c r="S54" t="s">
        <v>91</v>
      </c>
      <c r="T54" t="s">
        <v>179</v>
      </c>
      <c r="U54" t="s">
        <v>263</v>
      </c>
    </row>
    <row r="55" spans="8:21" x14ac:dyDescent="0.25">
      <c r="H55">
        <v>35</v>
      </c>
      <c r="I55" t="s">
        <v>390</v>
      </c>
      <c r="J55" t="s">
        <v>258</v>
      </c>
      <c r="K55" t="s">
        <v>273</v>
      </c>
      <c r="R55">
        <v>21</v>
      </c>
      <c r="S55" t="s">
        <v>91</v>
      </c>
      <c r="T55" t="s">
        <v>179</v>
      </c>
      <c r="U55" t="s">
        <v>263</v>
      </c>
    </row>
    <row r="56" spans="8:21" x14ac:dyDescent="0.25">
      <c r="H56">
        <v>32</v>
      </c>
      <c r="I56" t="s">
        <v>22</v>
      </c>
      <c r="J56" t="s">
        <v>258</v>
      </c>
      <c r="K56" t="s">
        <v>273</v>
      </c>
      <c r="R56">
        <v>16</v>
      </c>
      <c r="S56" t="s">
        <v>10</v>
      </c>
      <c r="T56" t="s">
        <v>179</v>
      </c>
      <c r="U56" t="s">
        <v>263</v>
      </c>
    </row>
    <row r="57" spans="8:21" x14ac:dyDescent="0.25">
      <c r="H57">
        <v>49</v>
      </c>
      <c r="I57" t="s">
        <v>69</v>
      </c>
      <c r="J57" t="s">
        <v>179</v>
      </c>
      <c r="K57" t="s">
        <v>273</v>
      </c>
      <c r="R57">
        <v>16</v>
      </c>
      <c r="S57" t="s">
        <v>10</v>
      </c>
      <c r="T57" t="s">
        <v>179</v>
      </c>
      <c r="U57" t="s">
        <v>263</v>
      </c>
    </row>
    <row r="58" spans="8:21" x14ac:dyDescent="0.25">
      <c r="H58">
        <v>55</v>
      </c>
      <c r="I58" t="s">
        <v>391</v>
      </c>
      <c r="J58" t="s">
        <v>179</v>
      </c>
      <c r="K58" t="s">
        <v>273</v>
      </c>
      <c r="R58">
        <v>6</v>
      </c>
      <c r="S58" t="s">
        <v>108</v>
      </c>
      <c r="T58" t="s">
        <v>181</v>
      </c>
      <c r="U58" t="s">
        <v>263</v>
      </c>
    </row>
    <row r="59" spans="8:21" x14ac:dyDescent="0.25">
      <c r="H59">
        <v>56</v>
      </c>
      <c r="I59" t="s">
        <v>392</v>
      </c>
      <c r="J59" t="s">
        <v>179</v>
      </c>
      <c r="K59" t="s">
        <v>273</v>
      </c>
      <c r="R59">
        <v>6</v>
      </c>
      <c r="S59" t="s">
        <v>108</v>
      </c>
      <c r="T59" t="s">
        <v>181</v>
      </c>
      <c r="U59" t="s">
        <v>263</v>
      </c>
    </row>
    <row r="60" spans="8:21" x14ac:dyDescent="0.25">
      <c r="H60">
        <v>60</v>
      </c>
      <c r="I60" t="s">
        <v>531</v>
      </c>
      <c r="J60" t="s">
        <v>179</v>
      </c>
      <c r="K60" t="s">
        <v>273</v>
      </c>
      <c r="R60">
        <v>29</v>
      </c>
      <c r="S60" t="s">
        <v>551</v>
      </c>
      <c r="T60" t="s">
        <v>179</v>
      </c>
      <c r="U60" t="s">
        <v>263</v>
      </c>
    </row>
    <row r="61" spans="8:21" x14ac:dyDescent="0.25">
      <c r="H61">
        <v>50</v>
      </c>
      <c r="I61" t="s">
        <v>117</v>
      </c>
      <c r="J61" t="s">
        <v>179</v>
      </c>
      <c r="K61" t="s">
        <v>273</v>
      </c>
      <c r="R61">
        <v>29</v>
      </c>
      <c r="S61" t="s">
        <v>551</v>
      </c>
      <c r="T61" t="s">
        <v>179</v>
      </c>
      <c r="U61" t="s">
        <v>263</v>
      </c>
    </row>
    <row r="62" spans="8:21" x14ac:dyDescent="0.25">
      <c r="H62">
        <v>61</v>
      </c>
      <c r="I62" t="s">
        <v>87</v>
      </c>
      <c r="J62" t="s">
        <v>179</v>
      </c>
      <c r="K62" t="s">
        <v>273</v>
      </c>
      <c r="R62">
        <v>4</v>
      </c>
      <c r="S62" t="s">
        <v>543</v>
      </c>
      <c r="T62" t="s">
        <v>258</v>
      </c>
      <c r="U62" t="s">
        <v>263</v>
      </c>
    </row>
    <row r="63" spans="8:21" x14ac:dyDescent="0.25">
      <c r="H63">
        <v>57</v>
      </c>
      <c r="I63" t="s">
        <v>393</v>
      </c>
      <c r="J63" t="s">
        <v>179</v>
      </c>
      <c r="K63" t="s">
        <v>273</v>
      </c>
      <c r="R63">
        <v>4</v>
      </c>
      <c r="S63" t="s">
        <v>543</v>
      </c>
      <c r="T63" t="s">
        <v>258</v>
      </c>
      <c r="U63" t="s">
        <v>263</v>
      </c>
    </row>
    <row r="64" spans="8:21" x14ac:dyDescent="0.25">
      <c r="H64">
        <v>677</v>
      </c>
      <c r="I64" t="s">
        <v>831</v>
      </c>
      <c r="J64" t="s">
        <v>179</v>
      </c>
      <c r="K64" t="s">
        <v>273</v>
      </c>
      <c r="R64">
        <v>20</v>
      </c>
      <c r="S64" t="s">
        <v>21</v>
      </c>
      <c r="T64" t="s">
        <v>179</v>
      </c>
      <c r="U64" t="s">
        <v>263</v>
      </c>
    </row>
    <row r="65" spans="8:21" x14ac:dyDescent="0.25">
      <c r="H65">
        <v>51</v>
      </c>
      <c r="I65" t="s">
        <v>394</v>
      </c>
      <c r="J65" t="s">
        <v>179</v>
      </c>
      <c r="K65" t="s">
        <v>273</v>
      </c>
      <c r="R65">
        <v>20</v>
      </c>
      <c r="S65" t="s">
        <v>21</v>
      </c>
      <c r="T65" t="s">
        <v>179</v>
      </c>
      <c r="U65" t="s">
        <v>263</v>
      </c>
    </row>
    <row r="66" spans="8:21" x14ac:dyDescent="0.25">
      <c r="H66">
        <v>52</v>
      </c>
      <c r="I66" t="s">
        <v>535</v>
      </c>
      <c r="J66" t="s">
        <v>179</v>
      </c>
      <c r="K66" t="s">
        <v>273</v>
      </c>
      <c r="R66">
        <v>11</v>
      </c>
      <c r="S66" t="s">
        <v>47</v>
      </c>
      <c r="T66" t="s">
        <v>181</v>
      </c>
      <c r="U66" t="s">
        <v>263</v>
      </c>
    </row>
    <row r="67" spans="8:21" x14ac:dyDescent="0.25">
      <c r="H67">
        <v>62</v>
      </c>
      <c r="I67" t="s">
        <v>548</v>
      </c>
      <c r="J67" t="s">
        <v>179</v>
      </c>
      <c r="K67" t="s">
        <v>273</v>
      </c>
      <c r="R67">
        <v>11</v>
      </c>
      <c r="S67" t="s">
        <v>47</v>
      </c>
      <c r="T67" t="s">
        <v>181</v>
      </c>
      <c r="U67" t="s">
        <v>263</v>
      </c>
    </row>
    <row r="68" spans="8:21" x14ac:dyDescent="0.25">
      <c r="H68">
        <v>58</v>
      </c>
      <c r="I68" t="s">
        <v>88</v>
      </c>
      <c r="J68" t="s">
        <v>179</v>
      </c>
      <c r="K68" t="s">
        <v>273</v>
      </c>
      <c r="R68">
        <v>12</v>
      </c>
      <c r="S68" t="s">
        <v>46</v>
      </c>
      <c r="T68" t="s">
        <v>181</v>
      </c>
      <c r="U68" t="s">
        <v>263</v>
      </c>
    </row>
    <row r="69" spans="8:21" x14ac:dyDescent="0.25">
      <c r="H69">
        <v>53</v>
      </c>
      <c r="I69" t="s">
        <v>625</v>
      </c>
      <c r="J69" t="s">
        <v>179</v>
      </c>
      <c r="K69" t="s">
        <v>273</v>
      </c>
      <c r="R69">
        <v>12</v>
      </c>
      <c r="S69" t="s">
        <v>46</v>
      </c>
      <c r="T69" t="s">
        <v>181</v>
      </c>
      <c r="U69" t="s">
        <v>263</v>
      </c>
    </row>
    <row r="70" spans="8:21" x14ac:dyDescent="0.25">
      <c r="H70">
        <v>54</v>
      </c>
      <c r="I70" t="s">
        <v>89</v>
      </c>
      <c r="J70" t="s">
        <v>179</v>
      </c>
      <c r="K70" t="s">
        <v>273</v>
      </c>
      <c r="R70">
        <v>26</v>
      </c>
      <c r="S70" t="s">
        <v>588</v>
      </c>
      <c r="T70" t="s">
        <v>179</v>
      </c>
      <c r="U70" t="s">
        <v>263</v>
      </c>
    </row>
    <row r="71" spans="8:21" x14ac:dyDescent="0.25">
      <c r="H71">
        <v>59</v>
      </c>
      <c r="I71" t="s">
        <v>330</v>
      </c>
      <c r="J71" t="s">
        <v>179</v>
      </c>
      <c r="K71" t="s">
        <v>273</v>
      </c>
      <c r="R71">
        <v>26</v>
      </c>
      <c r="S71" t="s">
        <v>588</v>
      </c>
      <c r="T71" t="s">
        <v>179</v>
      </c>
      <c r="U71" t="s">
        <v>263</v>
      </c>
    </row>
    <row r="72" spans="8:21" x14ac:dyDescent="0.25">
      <c r="H72">
        <v>47</v>
      </c>
      <c r="I72" t="s">
        <v>395</v>
      </c>
      <c r="J72" t="s">
        <v>179</v>
      </c>
      <c r="K72" t="s">
        <v>273</v>
      </c>
      <c r="R72">
        <v>17</v>
      </c>
      <c r="S72" t="s">
        <v>507</v>
      </c>
      <c r="T72" t="s">
        <v>179</v>
      </c>
      <c r="U72" t="s">
        <v>263</v>
      </c>
    </row>
    <row r="73" spans="8:21" x14ac:dyDescent="0.25">
      <c r="H73">
        <v>48</v>
      </c>
      <c r="I73" t="s">
        <v>50</v>
      </c>
      <c r="J73" t="s">
        <v>179</v>
      </c>
      <c r="K73" t="s">
        <v>273</v>
      </c>
      <c r="R73">
        <v>42</v>
      </c>
      <c r="S73" t="s">
        <v>653</v>
      </c>
      <c r="T73" t="s">
        <v>181</v>
      </c>
      <c r="U73" t="s">
        <v>273</v>
      </c>
    </row>
    <row r="74" spans="8:21" x14ac:dyDescent="0.25">
      <c r="H74">
        <v>63</v>
      </c>
      <c r="I74" t="s">
        <v>328</v>
      </c>
      <c r="J74" t="s">
        <v>179</v>
      </c>
      <c r="K74" t="s">
        <v>273</v>
      </c>
      <c r="R74">
        <v>42</v>
      </c>
      <c r="S74" t="s">
        <v>529</v>
      </c>
      <c r="T74" t="s">
        <v>181</v>
      </c>
      <c r="U74" t="s">
        <v>273</v>
      </c>
    </row>
    <row r="75" spans="8:21" x14ac:dyDescent="0.25">
      <c r="H75">
        <v>75</v>
      </c>
      <c r="I75" t="s">
        <v>576</v>
      </c>
      <c r="J75" t="s">
        <v>181</v>
      </c>
      <c r="K75" t="s">
        <v>285</v>
      </c>
      <c r="R75">
        <v>43</v>
      </c>
      <c r="S75" t="s">
        <v>282</v>
      </c>
      <c r="T75" t="s">
        <v>181</v>
      </c>
      <c r="U75" t="s">
        <v>273</v>
      </c>
    </row>
    <row r="76" spans="8:21" x14ac:dyDescent="0.25">
      <c r="H76">
        <v>76</v>
      </c>
      <c r="I76" t="s">
        <v>580</v>
      </c>
      <c r="J76" t="s">
        <v>181</v>
      </c>
      <c r="K76" t="s">
        <v>285</v>
      </c>
      <c r="R76">
        <v>43</v>
      </c>
      <c r="S76" t="s">
        <v>282</v>
      </c>
      <c r="T76" t="s">
        <v>181</v>
      </c>
      <c r="U76" t="s">
        <v>273</v>
      </c>
    </row>
    <row r="77" spans="8:21" x14ac:dyDescent="0.25">
      <c r="H77">
        <v>77</v>
      </c>
      <c r="I77" t="s">
        <v>301</v>
      </c>
      <c r="J77" t="s">
        <v>181</v>
      </c>
      <c r="K77" t="s">
        <v>285</v>
      </c>
      <c r="R77">
        <v>49</v>
      </c>
      <c r="S77" t="s">
        <v>69</v>
      </c>
      <c r="T77" t="s">
        <v>179</v>
      </c>
      <c r="U77" t="s">
        <v>273</v>
      </c>
    </row>
    <row r="78" spans="8:21" x14ac:dyDescent="0.25">
      <c r="H78">
        <v>78</v>
      </c>
      <c r="I78" t="s">
        <v>504</v>
      </c>
      <c r="J78" t="s">
        <v>181</v>
      </c>
      <c r="K78" t="s">
        <v>285</v>
      </c>
      <c r="R78">
        <v>49</v>
      </c>
      <c r="S78" t="s">
        <v>69</v>
      </c>
      <c r="T78" t="s">
        <v>179</v>
      </c>
      <c r="U78" t="s">
        <v>273</v>
      </c>
    </row>
    <row r="79" spans="8:21" x14ac:dyDescent="0.25">
      <c r="H79">
        <v>79</v>
      </c>
      <c r="I79" t="s">
        <v>105</v>
      </c>
      <c r="J79" t="s">
        <v>181</v>
      </c>
      <c r="K79" t="s">
        <v>285</v>
      </c>
      <c r="R79">
        <v>55</v>
      </c>
      <c r="S79" t="s">
        <v>391</v>
      </c>
      <c r="T79" t="s">
        <v>179</v>
      </c>
      <c r="U79" t="s">
        <v>273</v>
      </c>
    </row>
    <row r="80" spans="8:21" x14ac:dyDescent="0.25">
      <c r="H80">
        <v>72</v>
      </c>
      <c r="I80" t="s">
        <v>302</v>
      </c>
      <c r="J80" t="s">
        <v>181</v>
      </c>
      <c r="K80" t="s">
        <v>285</v>
      </c>
      <c r="R80">
        <v>55</v>
      </c>
      <c r="S80" t="s">
        <v>391</v>
      </c>
      <c r="T80" t="s">
        <v>179</v>
      </c>
      <c r="U80" t="s">
        <v>273</v>
      </c>
    </row>
    <row r="81" spans="8:21" x14ac:dyDescent="0.25">
      <c r="H81">
        <v>73</v>
      </c>
      <c r="I81" t="s">
        <v>115</v>
      </c>
      <c r="J81" t="s">
        <v>181</v>
      </c>
      <c r="K81" t="s">
        <v>285</v>
      </c>
      <c r="R81">
        <v>56</v>
      </c>
      <c r="S81" t="s">
        <v>392</v>
      </c>
      <c r="T81" t="s">
        <v>179</v>
      </c>
      <c r="U81" t="s">
        <v>273</v>
      </c>
    </row>
    <row r="82" spans="8:21" x14ac:dyDescent="0.25">
      <c r="H82">
        <v>80</v>
      </c>
      <c r="I82" t="s">
        <v>554</v>
      </c>
      <c r="J82" t="s">
        <v>181</v>
      </c>
      <c r="K82" t="s">
        <v>285</v>
      </c>
      <c r="R82">
        <v>56</v>
      </c>
      <c r="S82" t="s">
        <v>392</v>
      </c>
      <c r="T82" t="s">
        <v>179</v>
      </c>
      <c r="U82" t="s">
        <v>273</v>
      </c>
    </row>
    <row r="83" spans="8:21" x14ac:dyDescent="0.25">
      <c r="H83">
        <v>74</v>
      </c>
      <c r="I83" t="s">
        <v>547</v>
      </c>
      <c r="J83" t="s">
        <v>181</v>
      </c>
      <c r="K83" t="s">
        <v>285</v>
      </c>
      <c r="R83">
        <v>44</v>
      </c>
      <c r="S83" t="s">
        <v>524</v>
      </c>
      <c r="T83" t="s">
        <v>181</v>
      </c>
      <c r="U83" t="s">
        <v>273</v>
      </c>
    </row>
    <row r="84" spans="8:21" x14ac:dyDescent="0.25">
      <c r="H84">
        <v>71</v>
      </c>
      <c r="I84" t="s">
        <v>303</v>
      </c>
      <c r="J84" t="s">
        <v>181</v>
      </c>
      <c r="K84" t="s">
        <v>285</v>
      </c>
      <c r="R84">
        <v>44</v>
      </c>
      <c r="S84" t="s">
        <v>524</v>
      </c>
      <c r="T84" t="s">
        <v>181</v>
      </c>
      <c r="U84" t="s">
        <v>273</v>
      </c>
    </row>
    <row r="85" spans="8:21" x14ac:dyDescent="0.25">
      <c r="H85">
        <v>99</v>
      </c>
      <c r="I85" t="s">
        <v>650</v>
      </c>
      <c r="J85" t="s">
        <v>178</v>
      </c>
      <c r="K85" t="s">
        <v>285</v>
      </c>
      <c r="R85">
        <v>60</v>
      </c>
      <c r="S85" t="s">
        <v>531</v>
      </c>
      <c r="T85" t="s">
        <v>179</v>
      </c>
      <c r="U85" t="s">
        <v>273</v>
      </c>
    </row>
    <row r="86" spans="8:21" x14ac:dyDescent="0.25">
      <c r="H86">
        <v>98</v>
      </c>
      <c r="I86" t="s">
        <v>396</v>
      </c>
      <c r="J86" t="s">
        <v>178</v>
      </c>
      <c r="K86" t="s">
        <v>285</v>
      </c>
      <c r="R86">
        <v>60</v>
      </c>
      <c r="S86" t="s">
        <v>531</v>
      </c>
      <c r="T86" t="s">
        <v>179</v>
      </c>
      <c r="U86" t="s">
        <v>273</v>
      </c>
    </row>
    <row r="87" spans="8:21" x14ac:dyDescent="0.25">
      <c r="H87">
        <v>97</v>
      </c>
      <c r="I87" t="s">
        <v>570</v>
      </c>
      <c r="J87" t="s">
        <v>178</v>
      </c>
      <c r="K87" t="s">
        <v>285</v>
      </c>
      <c r="R87">
        <v>50</v>
      </c>
      <c r="S87" t="s">
        <v>117</v>
      </c>
      <c r="T87" t="s">
        <v>179</v>
      </c>
      <c r="U87" t="s">
        <v>273</v>
      </c>
    </row>
    <row r="88" spans="8:21" x14ac:dyDescent="0.25">
      <c r="H88">
        <v>100</v>
      </c>
      <c r="I88" t="s">
        <v>651</v>
      </c>
      <c r="J88" t="s">
        <v>178</v>
      </c>
      <c r="K88" t="s">
        <v>285</v>
      </c>
      <c r="R88">
        <v>50</v>
      </c>
      <c r="S88" t="s">
        <v>629</v>
      </c>
      <c r="T88" t="s">
        <v>179</v>
      </c>
      <c r="U88" t="s">
        <v>273</v>
      </c>
    </row>
    <row r="89" spans="8:21" x14ac:dyDescent="0.25">
      <c r="H89">
        <v>68</v>
      </c>
      <c r="I89" t="s">
        <v>168</v>
      </c>
      <c r="J89" t="s">
        <v>258</v>
      </c>
      <c r="K89" t="s">
        <v>285</v>
      </c>
      <c r="R89">
        <v>36</v>
      </c>
      <c r="S89" t="s">
        <v>51</v>
      </c>
      <c r="T89" t="s">
        <v>181</v>
      </c>
      <c r="U89" t="s">
        <v>273</v>
      </c>
    </row>
    <row r="90" spans="8:21" x14ac:dyDescent="0.25">
      <c r="H90">
        <v>69</v>
      </c>
      <c r="I90" t="s">
        <v>646</v>
      </c>
      <c r="J90" t="s">
        <v>258</v>
      </c>
      <c r="K90" t="s">
        <v>285</v>
      </c>
      <c r="R90">
        <v>36</v>
      </c>
      <c r="S90" t="s">
        <v>51</v>
      </c>
      <c r="T90" t="s">
        <v>181</v>
      </c>
      <c r="U90" t="s">
        <v>273</v>
      </c>
    </row>
    <row r="91" spans="8:21" x14ac:dyDescent="0.25">
      <c r="H91">
        <v>66</v>
      </c>
      <c r="I91" t="s">
        <v>15</v>
      </c>
      <c r="J91" t="s">
        <v>258</v>
      </c>
      <c r="K91" t="s">
        <v>285</v>
      </c>
      <c r="R91">
        <v>61</v>
      </c>
      <c r="S91" t="s">
        <v>87</v>
      </c>
      <c r="T91" t="s">
        <v>179</v>
      </c>
      <c r="U91" t="s">
        <v>273</v>
      </c>
    </row>
    <row r="92" spans="8:21" x14ac:dyDescent="0.25">
      <c r="H92">
        <v>70</v>
      </c>
      <c r="I92" t="s">
        <v>397</v>
      </c>
      <c r="J92" t="s">
        <v>258</v>
      </c>
      <c r="K92" t="s">
        <v>285</v>
      </c>
      <c r="R92">
        <v>61</v>
      </c>
      <c r="S92" t="s">
        <v>87</v>
      </c>
      <c r="T92" t="s">
        <v>179</v>
      </c>
      <c r="U92" t="s">
        <v>273</v>
      </c>
    </row>
    <row r="93" spans="8:21" x14ac:dyDescent="0.25">
      <c r="H93">
        <v>67</v>
      </c>
      <c r="I93" t="s">
        <v>415</v>
      </c>
      <c r="J93" t="s">
        <v>258</v>
      </c>
      <c r="K93" t="s">
        <v>285</v>
      </c>
      <c r="R93">
        <v>37</v>
      </c>
      <c r="S93" t="s">
        <v>44</v>
      </c>
      <c r="T93" t="s">
        <v>181</v>
      </c>
      <c r="U93" t="s">
        <v>273</v>
      </c>
    </row>
    <row r="94" spans="8:21" x14ac:dyDescent="0.25">
      <c r="H94">
        <v>85</v>
      </c>
      <c r="I94" t="s">
        <v>398</v>
      </c>
      <c r="J94" t="s">
        <v>179</v>
      </c>
      <c r="K94" t="s">
        <v>285</v>
      </c>
      <c r="R94">
        <v>37</v>
      </c>
      <c r="S94" t="s">
        <v>44</v>
      </c>
      <c r="T94" t="s">
        <v>181</v>
      </c>
      <c r="U94" t="s">
        <v>273</v>
      </c>
    </row>
    <row r="95" spans="8:21" x14ac:dyDescent="0.25">
      <c r="H95">
        <v>86</v>
      </c>
      <c r="I95" t="s">
        <v>66</v>
      </c>
      <c r="J95" t="s">
        <v>179</v>
      </c>
      <c r="K95" t="s">
        <v>285</v>
      </c>
      <c r="R95">
        <v>57</v>
      </c>
      <c r="S95" t="s">
        <v>393</v>
      </c>
      <c r="T95" t="s">
        <v>179</v>
      </c>
      <c r="U95" t="s">
        <v>273</v>
      </c>
    </row>
    <row r="96" spans="8:21" x14ac:dyDescent="0.25">
      <c r="H96">
        <v>87</v>
      </c>
      <c r="I96" t="s">
        <v>109</v>
      </c>
      <c r="J96" t="s">
        <v>179</v>
      </c>
      <c r="K96" t="s">
        <v>285</v>
      </c>
      <c r="R96">
        <v>57</v>
      </c>
      <c r="S96" t="s">
        <v>393</v>
      </c>
      <c r="T96" t="s">
        <v>179</v>
      </c>
      <c r="U96" t="s">
        <v>273</v>
      </c>
    </row>
    <row r="97" spans="8:21" x14ac:dyDescent="0.25">
      <c r="H97">
        <v>88</v>
      </c>
      <c r="I97" t="s">
        <v>107</v>
      </c>
      <c r="J97" t="s">
        <v>179</v>
      </c>
      <c r="K97" t="s">
        <v>285</v>
      </c>
      <c r="R97">
        <v>34</v>
      </c>
      <c r="S97" t="s">
        <v>389</v>
      </c>
      <c r="T97" t="s">
        <v>258</v>
      </c>
      <c r="U97" t="s">
        <v>273</v>
      </c>
    </row>
    <row r="98" spans="8:21" x14ac:dyDescent="0.25">
      <c r="H98">
        <v>92</v>
      </c>
      <c r="I98" t="s">
        <v>399</v>
      </c>
      <c r="J98" t="s">
        <v>179</v>
      </c>
      <c r="K98" t="s">
        <v>285</v>
      </c>
      <c r="R98">
        <v>34</v>
      </c>
      <c r="S98" t="s">
        <v>389</v>
      </c>
      <c r="T98" t="s">
        <v>258</v>
      </c>
      <c r="U98" t="s">
        <v>273</v>
      </c>
    </row>
    <row r="99" spans="8:21" x14ac:dyDescent="0.25">
      <c r="H99">
        <v>93</v>
      </c>
      <c r="I99" t="s">
        <v>400</v>
      </c>
      <c r="J99" t="s">
        <v>179</v>
      </c>
      <c r="K99" t="s">
        <v>285</v>
      </c>
      <c r="R99">
        <v>677</v>
      </c>
      <c r="S99" t="s">
        <v>831</v>
      </c>
      <c r="T99" t="s">
        <v>179</v>
      </c>
      <c r="U99" t="s">
        <v>273</v>
      </c>
    </row>
    <row r="100" spans="8:21" x14ac:dyDescent="0.25">
      <c r="H100">
        <v>81</v>
      </c>
      <c r="I100" t="s">
        <v>306</v>
      </c>
      <c r="J100" t="s">
        <v>179</v>
      </c>
      <c r="K100" t="s">
        <v>285</v>
      </c>
      <c r="R100">
        <v>677</v>
      </c>
      <c r="S100" t="s">
        <v>831</v>
      </c>
      <c r="T100" t="s">
        <v>179</v>
      </c>
      <c r="U100" t="s">
        <v>273</v>
      </c>
    </row>
    <row r="101" spans="8:21" x14ac:dyDescent="0.25">
      <c r="H101">
        <v>83</v>
      </c>
      <c r="I101" t="s">
        <v>308</v>
      </c>
      <c r="J101" t="s">
        <v>179</v>
      </c>
      <c r="K101" t="s">
        <v>285</v>
      </c>
      <c r="R101">
        <v>51</v>
      </c>
      <c r="S101" t="s">
        <v>394</v>
      </c>
      <c r="T101" t="s">
        <v>179</v>
      </c>
      <c r="U101" t="s">
        <v>273</v>
      </c>
    </row>
    <row r="102" spans="8:21" x14ac:dyDescent="0.25">
      <c r="H102">
        <v>89</v>
      </c>
      <c r="I102" t="s">
        <v>401</v>
      </c>
      <c r="J102" t="s">
        <v>179</v>
      </c>
      <c r="K102" t="s">
        <v>285</v>
      </c>
      <c r="R102">
        <v>51</v>
      </c>
      <c r="S102" t="s">
        <v>394</v>
      </c>
      <c r="T102" t="s">
        <v>179</v>
      </c>
      <c r="U102" t="s">
        <v>273</v>
      </c>
    </row>
    <row r="103" spans="8:21" x14ac:dyDescent="0.25">
      <c r="H103">
        <v>94</v>
      </c>
      <c r="I103" t="s">
        <v>534</v>
      </c>
      <c r="J103" t="s">
        <v>179</v>
      </c>
      <c r="K103" t="s">
        <v>285</v>
      </c>
      <c r="R103">
        <v>52</v>
      </c>
      <c r="S103" t="s">
        <v>535</v>
      </c>
      <c r="T103" t="s">
        <v>179</v>
      </c>
      <c r="U103" t="s">
        <v>273</v>
      </c>
    </row>
    <row r="104" spans="8:21" x14ac:dyDescent="0.25">
      <c r="H104">
        <v>90</v>
      </c>
      <c r="I104" t="s">
        <v>402</v>
      </c>
      <c r="J104" t="s">
        <v>179</v>
      </c>
      <c r="K104" t="s">
        <v>285</v>
      </c>
      <c r="R104">
        <v>52</v>
      </c>
      <c r="S104" t="s">
        <v>535</v>
      </c>
      <c r="T104" t="s">
        <v>179</v>
      </c>
      <c r="U104" t="s">
        <v>273</v>
      </c>
    </row>
    <row r="105" spans="8:21" x14ac:dyDescent="0.25">
      <c r="H105">
        <v>82</v>
      </c>
      <c r="I105" t="s">
        <v>309</v>
      </c>
      <c r="J105" t="s">
        <v>179</v>
      </c>
      <c r="K105" t="s">
        <v>285</v>
      </c>
      <c r="R105">
        <v>62</v>
      </c>
      <c r="S105" t="s">
        <v>548</v>
      </c>
      <c r="T105" t="s">
        <v>179</v>
      </c>
      <c r="U105" t="s">
        <v>273</v>
      </c>
    </row>
    <row r="106" spans="8:21" x14ac:dyDescent="0.25">
      <c r="H106">
        <v>95</v>
      </c>
      <c r="I106" t="s">
        <v>533</v>
      </c>
      <c r="J106" t="s">
        <v>179</v>
      </c>
      <c r="K106" t="s">
        <v>285</v>
      </c>
      <c r="R106">
        <v>62</v>
      </c>
      <c r="S106" t="s">
        <v>548</v>
      </c>
      <c r="T106" t="s">
        <v>179</v>
      </c>
      <c r="U106" t="s">
        <v>273</v>
      </c>
    </row>
    <row r="107" spans="8:21" x14ac:dyDescent="0.25">
      <c r="H107">
        <v>91</v>
      </c>
      <c r="I107" t="s">
        <v>403</v>
      </c>
      <c r="J107" t="s">
        <v>179</v>
      </c>
      <c r="K107" t="s">
        <v>285</v>
      </c>
      <c r="R107">
        <v>58</v>
      </c>
      <c r="S107" t="s">
        <v>88</v>
      </c>
      <c r="T107" t="s">
        <v>179</v>
      </c>
      <c r="U107" t="s">
        <v>273</v>
      </c>
    </row>
    <row r="108" spans="8:21" x14ac:dyDescent="0.25">
      <c r="H108">
        <v>84</v>
      </c>
      <c r="I108" t="s">
        <v>300</v>
      </c>
      <c r="J108" t="s">
        <v>179</v>
      </c>
      <c r="K108" t="s">
        <v>285</v>
      </c>
      <c r="R108">
        <v>58</v>
      </c>
      <c r="S108" t="s">
        <v>88</v>
      </c>
      <c r="T108" t="s">
        <v>179</v>
      </c>
      <c r="U108" t="s">
        <v>273</v>
      </c>
    </row>
    <row r="109" spans="8:21" x14ac:dyDescent="0.25">
      <c r="H109">
        <v>96</v>
      </c>
      <c r="I109" t="s">
        <v>573</v>
      </c>
      <c r="J109" t="s">
        <v>179</v>
      </c>
      <c r="K109" t="s">
        <v>285</v>
      </c>
      <c r="R109">
        <v>38</v>
      </c>
      <c r="S109" t="s">
        <v>152</v>
      </c>
      <c r="T109" t="s">
        <v>181</v>
      </c>
      <c r="U109" t="s">
        <v>273</v>
      </c>
    </row>
    <row r="110" spans="8:21" x14ac:dyDescent="0.25">
      <c r="H110">
        <v>108</v>
      </c>
      <c r="I110" t="s">
        <v>138</v>
      </c>
      <c r="J110" t="s">
        <v>181</v>
      </c>
      <c r="K110" t="s">
        <v>279</v>
      </c>
      <c r="R110">
        <v>38</v>
      </c>
      <c r="S110" t="s">
        <v>152</v>
      </c>
      <c r="T110" t="s">
        <v>181</v>
      </c>
      <c r="U110" t="s">
        <v>273</v>
      </c>
    </row>
    <row r="111" spans="8:21" x14ac:dyDescent="0.25">
      <c r="H111">
        <v>114</v>
      </c>
      <c r="I111" t="s">
        <v>647</v>
      </c>
      <c r="J111" t="s">
        <v>181</v>
      </c>
      <c r="K111" t="s">
        <v>279</v>
      </c>
      <c r="R111">
        <v>33</v>
      </c>
      <c r="S111" t="s">
        <v>572</v>
      </c>
      <c r="T111" t="s">
        <v>258</v>
      </c>
      <c r="U111" t="s">
        <v>273</v>
      </c>
    </row>
    <row r="112" spans="8:21" x14ac:dyDescent="0.25">
      <c r="H112">
        <v>106</v>
      </c>
      <c r="I112" t="s">
        <v>177</v>
      </c>
      <c r="J112" t="s">
        <v>181</v>
      </c>
      <c r="K112" t="s">
        <v>279</v>
      </c>
      <c r="R112">
        <v>33</v>
      </c>
      <c r="S112" t="s">
        <v>572</v>
      </c>
      <c r="T112" t="s">
        <v>258</v>
      </c>
      <c r="U112" t="s">
        <v>273</v>
      </c>
    </row>
    <row r="113" spans="8:21" x14ac:dyDescent="0.25">
      <c r="H113">
        <v>115</v>
      </c>
      <c r="I113" t="s">
        <v>522</v>
      </c>
      <c r="J113" t="s">
        <v>181</v>
      </c>
      <c r="K113" t="s">
        <v>279</v>
      </c>
      <c r="R113">
        <v>39</v>
      </c>
      <c r="S113" t="s">
        <v>383</v>
      </c>
      <c r="T113" t="s">
        <v>181</v>
      </c>
      <c r="U113" t="s">
        <v>273</v>
      </c>
    </row>
    <row r="114" spans="8:21" x14ac:dyDescent="0.25">
      <c r="H114">
        <v>109</v>
      </c>
      <c r="I114" t="s">
        <v>75</v>
      </c>
      <c r="J114" t="s">
        <v>181</v>
      </c>
      <c r="K114" t="s">
        <v>279</v>
      </c>
      <c r="R114">
        <v>39</v>
      </c>
      <c r="S114" t="s">
        <v>383</v>
      </c>
      <c r="T114" t="s">
        <v>181</v>
      </c>
      <c r="U114" t="s">
        <v>273</v>
      </c>
    </row>
    <row r="115" spans="8:21" x14ac:dyDescent="0.25">
      <c r="H115">
        <v>116</v>
      </c>
      <c r="I115" t="s">
        <v>72</v>
      </c>
      <c r="J115" t="s">
        <v>181</v>
      </c>
      <c r="K115" t="s">
        <v>279</v>
      </c>
      <c r="R115">
        <v>53</v>
      </c>
      <c r="S115" t="s">
        <v>625</v>
      </c>
      <c r="T115" t="s">
        <v>179</v>
      </c>
      <c r="U115" t="s">
        <v>273</v>
      </c>
    </row>
    <row r="116" spans="8:21" x14ac:dyDescent="0.25">
      <c r="H116">
        <v>117</v>
      </c>
      <c r="I116" t="s">
        <v>404</v>
      </c>
      <c r="J116" t="s">
        <v>181</v>
      </c>
      <c r="K116" t="s">
        <v>279</v>
      </c>
      <c r="R116">
        <v>53</v>
      </c>
      <c r="S116" t="s">
        <v>625</v>
      </c>
      <c r="T116" t="s">
        <v>179</v>
      </c>
      <c r="U116" t="s">
        <v>273</v>
      </c>
    </row>
    <row r="117" spans="8:21" x14ac:dyDescent="0.25">
      <c r="H117">
        <v>110</v>
      </c>
      <c r="I117" t="s">
        <v>519</v>
      </c>
      <c r="J117" t="s">
        <v>181</v>
      </c>
      <c r="K117" t="s">
        <v>279</v>
      </c>
      <c r="R117">
        <v>35</v>
      </c>
      <c r="S117" t="s">
        <v>390</v>
      </c>
      <c r="T117" t="s">
        <v>258</v>
      </c>
      <c r="U117" t="s">
        <v>273</v>
      </c>
    </row>
    <row r="118" spans="8:21" x14ac:dyDescent="0.25">
      <c r="H118">
        <v>107</v>
      </c>
      <c r="I118" t="s">
        <v>143</v>
      </c>
      <c r="J118" t="s">
        <v>181</v>
      </c>
      <c r="K118" t="s">
        <v>279</v>
      </c>
      <c r="R118">
        <v>35</v>
      </c>
      <c r="S118" t="s">
        <v>390</v>
      </c>
      <c r="T118" t="s">
        <v>258</v>
      </c>
      <c r="U118" t="s">
        <v>273</v>
      </c>
    </row>
    <row r="119" spans="8:21" x14ac:dyDescent="0.25">
      <c r="H119">
        <v>118</v>
      </c>
      <c r="I119" t="s">
        <v>648</v>
      </c>
      <c r="J119" t="s">
        <v>181</v>
      </c>
      <c r="K119" t="s">
        <v>279</v>
      </c>
      <c r="R119">
        <v>32</v>
      </c>
      <c r="S119" t="s">
        <v>22</v>
      </c>
      <c r="T119" t="s">
        <v>258</v>
      </c>
      <c r="U119" t="s">
        <v>273</v>
      </c>
    </row>
    <row r="120" spans="8:21" x14ac:dyDescent="0.25">
      <c r="H120">
        <v>111</v>
      </c>
      <c r="I120" t="s">
        <v>146</v>
      </c>
      <c r="J120" t="s">
        <v>181</v>
      </c>
      <c r="K120" t="s">
        <v>279</v>
      </c>
      <c r="R120">
        <v>32</v>
      </c>
      <c r="S120" t="s">
        <v>22</v>
      </c>
      <c r="T120" t="s">
        <v>258</v>
      </c>
      <c r="U120" t="s">
        <v>273</v>
      </c>
    </row>
    <row r="121" spans="8:21" x14ac:dyDescent="0.25">
      <c r="H121">
        <v>112</v>
      </c>
      <c r="I121" t="s">
        <v>145</v>
      </c>
      <c r="J121" t="s">
        <v>181</v>
      </c>
      <c r="K121" t="s">
        <v>279</v>
      </c>
      <c r="R121">
        <v>54</v>
      </c>
      <c r="S121" t="s">
        <v>89</v>
      </c>
      <c r="T121" t="s">
        <v>179</v>
      </c>
      <c r="U121" t="s">
        <v>273</v>
      </c>
    </row>
    <row r="122" spans="8:21" x14ac:dyDescent="0.25">
      <c r="H122">
        <v>113</v>
      </c>
      <c r="I122" t="s">
        <v>170</v>
      </c>
      <c r="J122" t="s">
        <v>181</v>
      </c>
      <c r="K122" t="s">
        <v>279</v>
      </c>
      <c r="R122">
        <v>54</v>
      </c>
      <c r="S122" t="s">
        <v>89</v>
      </c>
      <c r="T122" t="s">
        <v>179</v>
      </c>
      <c r="U122" t="s">
        <v>273</v>
      </c>
    </row>
    <row r="123" spans="8:21" x14ac:dyDescent="0.25">
      <c r="H123">
        <v>137</v>
      </c>
      <c r="I123" t="s">
        <v>631</v>
      </c>
      <c r="J123" t="s">
        <v>178</v>
      </c>
      <c r="K123" t="s">
        <v>279</v>
      </c>
      <c r="R123">
        <v>40</v>
      </c>
      <c r="S123" t="s">
        <v>74</v>
      </c>
      <c r="T123" t="s">
        <v>181</v>
      </c>
      <c r="U123" t="s">
        <v>273</v>
      </c>
    </row>
    <row r="124" spans="8:21" x14ac:dyDescent="0.25">
      <c r="H124">
        <v>136</v>
      </c>
      <c r="I124" t="s">
        <v>97</v>
      </c>
      <c r="J124" t="s">
        <v>178</v>
      </c>
      <c r="K124" t="s">
        <v>279</v>
      </c>
      <c r="R124">
        <v>40</v>
      </c>
      <c r="S124" t="s">
        <v>74</v>
      </c>
      <c r="T124" t="s">
        <v>181</v>
      </c>
      <c r="U124" t="s">
        <v>273</v>
      </c>
    </row>
    <row r="125" spans="8:21" x14ac:dyDescent="0.25">
      <c r="H125">
        <v>135</v>
      </c>
      <c r="I125" t="s">
        <v>54</v>
      </c>
      <c r="J125" t="s">
        <v>178</v>
      </c>
      <c r="K125" t="s">
        <v>279</v>
      </c>
      <c r="R125">
        <v>59</v>
      </c>
      <c r="S125" t="s">
        <v>330</v>
      </c>
      <c r="T125" t="s">
        <v>179</v>
      </c>
      <c r="U125" t="s">
        <v>273</v>
      </c>
    </row>
    <row r="126" spans="8:21" x14ac:dyDescent="0.25">
      <c r="H126">
        <v>102</v>
      </c>
      <c r="I126" t="s">
        <v>567</v>
      </c>
      <c r="J126" t="s">
        <v>258</v>
      </c>
      <c r="K126" t="s">
        <v>279</v>
      </c>
      <c r="R126">
        <v>59</v>
      </c>
      <c r="S126" t="s">
        <v>330</v>
      </c>
      <c r="T126" t="s">
        <v>179</v>
      </c>
      <c r="U126" t="s">
        <v>273</v>
      </c>
    </row>
    <row r="127" spans="8:21" x14ac:dyDescent="0.25">
      <c r="H127">
        <v>103</v>
      </c>
      <c r="I127" t="s">
        <v>581</v>
      </c>
      <c r="J127" t="s">
        <v>258</v>
      </c>
      <c r="K127" t="s">
        <v>279</v>
      </c>
      <c r="R127">
        <v>41</v>
      </c>
      <c r="S127" t="s">
        <v>283</v>
      </c>
      <c r="T127" t="s">
        <v>181</v>
      </c>
      <c r="U127" t="s">
        <v>273</v>
      </c>
    </row>
    <row r="128" spans="8:21" x14ac:dyDescent="0.25">
      <c r="H128">
        <v>104</v>
      </c>
      <c r="I128" t="s">
        <v>558</v>
      </c>
      <c r="J128" t="s">
        <v>258</v>
      </c>
      <c r="K128" t="s">
        <v>279</v>
      </c>
      <c r="R128">
        <v>41</v>
      </c>
      <c r="S128" t="s">
        <v>283</v>
      </c>
      <c r="T128" t="s">
        <v>181</v>
      </c>
      <c r="U128" t="s">
        <v>273</v>
      </c>
    </row>
    <row r="129" spans="8:21" x14ac:dyDescent="0.25">
      <c r="H129">
        <v>101</v>
      </c>
      <c r="I129" t="s">
        <v>159</v>
      </c>
      <c r="J129" t="s">
        <v>258</v>
      </c>
      <c r="K129" t="s">
        <v>279</v>
      </c>
      <c r="R129">
        <v>65</v>
      </c>
      <c r="S129" t="s">
        <v>550</v>
      </c>
      <c r="T129" t="s">
        <v>178</v>
      </c>
      <c r="U129" t="s">
        <v>273</v>
      </c>
    </row>
    <row r="130" spans="8:21" x14ac:dyDescent="0.25">
      <c r="H130">
        <v>105</v>
      </c>
      <c r="I130" t="s">
        <v>405</v>
      </c>
      <c r="J130" t="s">
        <v>258</v>
      </c>
      <c r="K130" t="s">
        <v>279</v>
      </c>
      <c r="R130">
        <v>65</v>
      </c>
      <c r="S130" t="s">
        <v>550</v>
      </c>
      <c r="T130" t="s">
        <v>178</v>
      </c>
      <c r="U130" t="s">
        <v>273</v>
      </c>
    </row>
    <row r="131" spans="8:21" x14ac:dyDescent="0.25">
      <c r="H131">
        <v>123</v>
      </c>
      <c r="I131" t="s">
        <v>440</v>
      </c>
      <c r="J131" t="s">
        <v>179</v>
      </c>
      <c r="K131" t="s">
        <v>279</v>
      </c>
      <c r="R131">
        <v>47</v>
      </c>
      <c r="S131" t="s">
        <v>395</v>
      </c>
      <c r="T131" t="s">
        <v>179</v>
      </c>
      <c r="U131" t="s">
        <v>273</v>
      </c>
    </row>
    <row r="132" spans="8:21" x14ac:dyDescent="0.25">
      <c r="H132">
        <v>121</v>
      </c>
      <c r="I132" t="s">
        <v>311</v>
      </c>
      <c r="J132" t="s">
        <v>179</v>
      </c>
      <c r="K132" t="s">
        <v>279</v>
      </c>
      <c r="R132">
        <v>47</v>
      </c>
      <c r="S132" t="s">
        <v>395</v>
      </c>
      <c r="T132" t="s">
        <v>179</v>
      </c>
      <c r="U132" t="s">
        <v>273</v>
      </c>
    </row>
    <row r="133" spans="8:21" x14ac:dyDescent="0.25">
      <c r="H133">
        <v>130</v>
      </c>
      <c r="I133" t="s">
        <v>634</v>
      </c>
      <c r="J133" t="s">
        <v>179</v>
      </c>
      <c r="K133" t="s">
        <v>279</v>
      </c>
      <c r="R133">
        <v>45</v>
      </c>
      <c r="S133" t="s">
        <v>388</v>
      </c>
      <c r="T133" t="s">
        <v>181</v>
      </c>
      <c r="U133" t="s">
        <v>273</v>
      </c>
    </row>
    <row r="134" spans="8:21" x14ac:dyDescent="0.25">
      <c r="H134">
        <v>124</v>
      </c>
      <c r="I134" t="s">
        <v>35</v>
      </c>
      <c r="J134" t="s">
        <v>179</v>
      </c>
      <c r="K134" t="s">
        <v>279</v>
      </c>
      <c r="R134">
        <v>45</v>
      </c>
      <c r="S134" t="s">
        <v>388</v>
      </c>
      <c r="T134" t="s">
        <v>181</v>
      </c>
      <c r="U134" t="s">
        <v>273</v>
      </c>
    </row>
    <row r="135" spans="8:21" x14ac:dyDescent="0.25">
      <c r="H135">
        <v>125</v>
      </c>
      <c r="I135" t="s">
        <v>55</v>
      </c>
      <c r="J135" t="s">
        <v>179</v>
      </c>
      <c r="K135" t="s">
        <v>279</v>
      </c>
      <c r="R135">
        <v>48</v>
      </c>
      <c r="S135" t="s">
        <v>50</v>
      </c>
      <c r="T135" t="s">
        <v>179</v>
      </c>
      <c r="U135" t="s">
        <v>273</v>
      </c>
    </row>
    <row r="136" spans="8:21" x14ac:dyDescent="0.25">
      <c r="H136">
        <v>126</v>
      </c>
      <c r="I136" t="s">
        <v>85</v>
      </c>
      <c r="J136" t="s">
        <v>179</v>
      </c>
      <c r="K136" t="s">
        <v>279</v>
      </c>
      <c r="R136">
        <v>48</v>
      </c>
      <c r="S136" t="s">
        <v>50</v>
      </c>
      <c r="T136" t="s">
        <v>179</v>
      </c>
      <c r="U136" t="s">
        <v>273</v>
      </c>
    </row>
    <row r="137" spans="8:21" x14ac:dyDescent="0.25">
      <c r="H137">
        <v>131</v>
      </c>
      <c r="I137" t="s">
        <v>406</v>
      </c>
      <c r="J137" t="s">
        <v>179</v>
      </c>
      <c r="K137" t="s">
        <v>279</v>
      </c>
      <c r="R137">
        <v>64</v>
      </c>
      <c r="S137" t="s">
        <v>30</v>
      </c>
      <c r="T137" t="s">
        <v>178</v>
      </c>
      <c r="U137" t="s">
        <v>273</v>
      </c>
    </row>
    <row r="138" spans="8:21" x14ac:dyDescent="0.25">
      <c r="H138">
        <v>132</v>
      </c>
      <c r="I138" t="s">
        <v>559</v>
      </c>
      <c r="J138" t="s">
        <v>179</v>
      </c>
      <c r="K138" t="s">
        <v>279</v>
      </c>
      <c r="R138">
        <v>64</v>
      </c>
      <c r="S138" t="s">
        <v>30</v>
      </c>
      <c r="T138" t="s">
        <v>178</v>
      </c>
      <c r="U138" t="s">
        <v>273</v>
      </c>
    </row>
    <row r="139" spans="8:21" x14ac:dyDescent="0.25">
      <c r="H139">
        <v>122</v>
      </c>
      <c r="I139" t="s">
        <v>583</v>
      </c>
      <c r="J139" t="s">
        <v>179</v>
      </c>
      <c r="K139" t="s">
        <v>279</v>
      </c>
      <c r="R139">
        <v>46</v>
      </c>
      <c r="S139" t="s">
        <v>587</v>
      </c>
      <c r="T139" t="s">
        <v>181</v>
      </c>
      <c r="U139" t="s">
        <v>273</v>
      </c>
    </row>
    <row r="140" spans="8:21" x14ac:dyDescent="0.25">
      <c r="H140">
        <v>127</v>
      </c>
      <c r="I140" t="s">
        <v>635</v>
      </c>
      <c r="J140" t="s">
        <v>179</v>
      </c>
      <c r="K140" t="s">
        <v>279</v>
      </c>
      <c r="R140">
        <v>46</v>
      </c>
      <c r="S140" t="s">
        <v>587</v>
      </c>
      <c r="T140" t="s">
        <v>181</v>
      </c>
      <c r="U140" t="s">
        <v>273</v>
      </c>
    </row>
    <row r="141" spans="8:21" x14ac:dyDescent="0.25">
      <c r="H141">
        <v>128</v>
      </c>
      <c r="I141" t="s">
        <v>120</v>
      </c>
      <c r="J141" t="s">
        <v>179</v>
      </c>
      <c r="K141" t="s">
        <v>279</v>
      </c>
      <c r="R141">
        <v>63</v>
      </c>
      <c r="S141" t="s">
        <v>328</v>
      </c>
      <c r="T141" t="s">
        <v>179</v>
      </c>
      <c r="U141" t="s">
        <v>273</v>
      </c>
    </row>
    <row r="142" spans="8:21" x14ac:dyDescent="0.25">
      <c r="H142">
        <v>133</v>
      </c>
      <c r="I142" t="s">
        <v>407</v>
      </c>
      <c r="J142" t="s">
        <v>179</v>
      </c>
      <c r="K142" t="s">
        <v>279</v>
      </c>
      <c r="R142">
        <v>63</v>
      </c>
      <c r="S142" t="s">
        <v>328</v>
      </c>
      <c r="T142" t="s">
        <v>179</v>
      </c>
      <c r="U142" t="s">
        <v>273</v>
      </c>
    </row>
    <row r="143" spans="8:21" x14ac:dyDescent="0.25">
      <c r="H143">
        <v>120</v>
      </c>
      <c r="I143" t="s">
        <v>313</v>
      </c>
      <c r="J143" t="s">
        <v>179</v>
      </c>
      <c r="K143" t="s">
        <v>279</v>
      </c>
      <c r="R143">
        <v>85</v>
      </c>
      <c r="S143" t="s">
        <v>398</v>
      </c>
      <c r="T143" t="s">
        <v>179</v>
      </c>
      <c r="U143" t="s">
        <v>285</v>
      </c>
    </row>
    <row r="144" spans="8:21" x14ac:dyDescent="0.25">
      <c r="H144">
        <v>134</v>
      </c>
      <c r="I144" t="s">
        <v>568</v>
      </c>
      <c r="J144" t="s">
        <v>179</v>
      </c>
      <c r="K144" t="s">
        <v>279</v>
      </c>
      <c r="R144">
        <v>85</v>
      </c>
      <c r="S144" t="s">
        <v>398</v>
      </c>
      <c r="T144" t="s">
        <v>179</v>
      </c>
      <c r="U144" t="s">
        <v>285</v>
      </c>
    </row>
    <row r="145" spans="8:21" x14ac:dyDescent="0.25">
      <c r="H145">
        <v>129</v>
      </c>
      <c r="I145" t="s">
        <v>408</v>
      </c>
      <c r="J145" t="s">
        <v>179</v>
      </c>
      <c r="K145" t="s">
        <v>279</v>
      </c>
      <c r="R145">
        <v>99</v>
      </c>
      <c r="S145" t="s">
        <v>650</v>
      </c>
      <c r="T145" t="s">
        <v>178</v>
      </c>
      <c r="U145" t="s">
        <v>285</v>
      </c>
    </row>
    <row r="146" spans="8:21" x14ac:dyDescent="0.25">
      <c r="H146">
        <v>143</v>
      </c>
      <c r="I146" t="s">
        <v>620</v>
      </c>
      <c r="J146" t="s">
        <v>181</v>
      </c>
      <c r="K146" t="s">
        <v>278</v>
      </c>
      <c r="R146">
        <v>99</v>
      </c>
      <c r="S146" t="s">
        <v>650</v>
      </c>
      <c r="T146" t="s">
        <v>178</v>
      </c>
      <c r="U146" t="s">
        <v>285</v>
      </c>
    </row>
    <row r="147" spans="8:21" x14ac:dyDescent="0.25">
      <c r="H147">
        <v>154</v>
      </c>
      <c r="I147" t="s">
        <v>618</v>
      </c>
      <c r="J147" t="s">
        <v>181</v>
      </c>
      <c r="K147" t="s">
        <v>278</v>
      </c>
      <c r="R147">
        <v>75</v>
      </c>
      <c r="S147" t="s">
        <v>576</v>
      </c>
      <c r="T147" t="s">
        <v>181</v>
      </c>
      <c r="U147" t="s">
        <v>285</v>
      </c>
    </row>
    <row r="148" spans="8:21" x14ac:dyDescent="0.25">
      <c r="H148">
        <v>144</v>
      </c>
      <c r="I148" t="s">
        <v>525</v>
      </c>
      <c r="J148" t="s">
        <v>181</v>
      </c>
      <c r="K148" t="s">
        <v>278</v>
      </c>
      <c r="R148">
        <v>75</v>
      </c>
      <c r="S148" t="s">
        <v>576</v>
      </c>
      <c r="T148" t="s">
        <v>181</v>
      </c>
      <c r="U148" t="s">
        <v>285</v>
      </c>
    </row>
    <row r="149" spans="8:21" x14ac:dyDescent="0.25">
      <c r="H149">
        <v>145</v>
      </c>
      <c r="I149" t="s">
        <v>552</v>
      </c>
      <c r="J149" t="s">
        <v>181</v>
      </c>
      <c r="K149" t="s">
        <v>278</v>
      </c>
      <c r="R149">
        <v>76</v>
      </c>
      <c r="S149" t="s">
        <v>580</v>
      </c>
      <c r="T149" t="s">
        <v>181</v>
      </c>
      <c r="U149" t="s">
        <v>285</v>
      </c>
    </row>
    <row r="150" spans="8:21" x14ac:dyDescent="0.25">
      <c r="H150">
        <v>146</v>
      </c>
      <c r="I150" t="s">
        <v>57</v>
      </c>
      <c r="J150" t="s">
        <v>181</v>
      </c>
      <c r="K150" t="s">
        <v>278</v>
      </c>
      <c r="R150">
        <v>76</v>
      </c>
      <c r="S150" t="s">
        <v>580</v>
      </c>
      <c r="T150" t="s">
        <v>181</v>
      </c>
      <c r="U150" t="s">
        <v>285</v>
      </c>
    </row>
    <row r="151" spans="8:21" x14ac:dyDescent="0.25">
      <c r="H151">
        <v>147</v>
      </c>
      <c r="I151" t="s">
        <v>349</v>
      </c>
      <c r="J151" t="s">
        <v>181</v>
      </c>
      <c r="K151" t="s">
        <v>278</v>
      </c>
      <c r="R151">
        <v>86</v>
      </c>
      <c r="S151" t="s">
        <v>66</v>
      </c>
      <c r="T151" t="s">
        <v>179</v>
      </c>
      <c r="U151" t="s">
        <v>285</v>
      </c>
    </row>
    <row r="152" spans="8:21" x14ac:dyDescent="0.25">
      <c r="H152">
        <v>148</v>
      </c>
      <c r="I152" t="s">
        <v>530</v>
      </c>
      <c r="J152" t="s">
        <v>181</v>
      </c>
      <c r="K152" t="s">
        <v>278</v>
      </c>
      <c r="R152">
        <v>86</v>
      </c>
      <c r="S152" t="s">
        <v>66</v>
      </c>
      <c r="T152" t="s">
        <v>179</v>
      </c>
      <c r="U152" t="s">
        <v>285</v>
      </c>
    </row>
    <row r="153" spans="8:21" x14ac:dyDescent="0.25">
      <c r="H153">
        <v>149</v>
      </c>
      <c r="I153" t="s">
        <v>382</v>
      </c>
      <c r="J153" t="s">
        <v>181</v>
      </c>
      <c r="K153" t="s">
        <v>278</v>
      </c>
      <c r="R153">
        <v>87</v>
      </c>
      <c r="S153" t="s">
        <v>109</v>
      </c>
      <c r="T153" t="s">
        <v>179</v>
      </c>
      <c r="U153" t="s">
        <v>285</v>
      </c>
    </row>
    <row r="154" spans="8:21" x14ac:dyDescent="0.25">
      <c r="H154">
        <v>150</v>
      </c>
      <c r="I154" t="s">
        <v>123</v>
      </c>
      <c r="J154" t="s">
        <v>181</v>
      </c>
      <c r="K154" t="s">
        <v>278</v>
      </c>
      <c r="R154">
        <v>87</v>
      </c>
      <c r="S154" t="s">
        <v>109</v>
      </c>
      <c r="T154" t="s">
        <v>179</v>
      </c>
      <c r="U154" t="s">
        <v>285</v>
      </c>
    </row>
    <row r="155" spans="8:21" x14ac:dyDescent="0.25">
      <c r="H155">
        <v>155</v>
      </c>
      <c r="I155" t="s">
        <v>617</v>
      </c>
      <c r="J155" t="s">
        <v>181</v>
      </c>
      <c r="K155" t="s">
        <v>278</v>
      </c>
      <c r="R155">
        <v>88</v>
      </c>
      <c r="S155" t="s">
        <v>107</v>
      </c>
      <c r="T155" t="s">
        <v>179</v>
      </c>
      <c r="U155" t="s">
        <v>285</v>
      </c>
    </row>
    <row r="156" spans="8:21" x14ac:dyDescent="0.25">
      <c r="H156">
        <v>156</v>
      </c>
      <c r="I156" t="s">
        <v>619</v>
      </c>
      <c r="J156" t="s">
        <v>181</v>
      </c>
      <c r="K156" t="s">
        <v>278</v>
      </c>
      <c r="R156">
        <v>88</v>
      </c>
      <c r="S156" t="s">
        <v>107</v>
      </c>
      <c r="T156" t="s">
        <v>179</v>
      </c>
      <c r="U156" t="s">
        <v>285</v>
      </c>
    </row>
    <row r="157" spans="8:21" x14ac:dyDescent="0.25">
      <c r="H157">
        <v>151</v>
      </c>
      <c r="I157" t="s">
        <v>291</v>
      </c>
      <c r="J157" t="s">
        <v>181</v>
      </c>
      <c r="K157" t="s">
        <v>278</v>
      </c>
      <c r="R157">
        <v>68</v>
      </c>
      <c r="S157" t="s">
        <v>168</v>
      </c>
      <c r="T157" t="s">
        <v>258</v>
      </c>
      <c r="U157" t="s">
        <v>285</v>
      </c>
    </row>
    <row r="158" spans="8:21" x14ac:dyDescent="0.25">
      <c r="H158">
        <v>152</v>
      </c>
      <c r="I158" t="s">
        <v>67</v>
      </c>
      <c r="J158" t="s">
        <v>181</v>
      </c>
      <c r="K158" t="s">
        <v>278</v>
      </c>
      <c r="R158">
        <v>68</v>
      </c>
      <c r="S158" t="s">
        <v>168</v>
      </c>
      <c r="T158" t="s">
        <v>258</v>
      </c>
      <c r="U158" t="s">
        <v>285</v>
      </c>
    </row>
    <row r="159" spans="8:21" x14ac:dyDescent="0.25">
      <c r="H159">
        <v>153</v>
      </c>
      <c r="I159" t="s">
        <v>96</v>
      </c>
      <c r="J159" t="s">
        <v>181</v>
      </c>
      <c r="K159" t="s">
        <v>278</v>
      </c>
      <c r="R159">
        <v>98</v>
      </c>
      <c r="S159" t="s">
        <v>396</v>
      </c>
      <c r="T159" t="s">
        <v>178</v>
      </c>
      <c r="U159" t="s">
        <v>285</v>
      </c>
    </row>
    <row r="160" spans="8:21" x14ac:dyDescent="0.25">
      <c r="H160">
        <v>179</v>
      </c>
      <c r="I160" t="s">
        <v>151</v>
      </c>
      <c r="J160" t="s">
        <v>178</v>
      </c>
      <c r="K160" t="s">
        <v>278</v>
      </c>
      <c r="R160">
        <v>98</v>
      </c>
      <c r="S160" t="s">
        <v>649</v>
      </c>
      <c r="T160" t="s">
        <v>178</v>
      </c>
      <c r="U160" t="s">
        <v>285</v>
      </c>
    </row>
    <row r="161" spans="8:21" x14ac:dyDescent="0.25">
      <c r="H161">
        <v>181</v>
      </c>
      <c r="I161" t="s">
        <v>556</v>
      </c>
      <c r="J161" t="s">
        <v>178</v>
      </c>
      <c r="K161" t="s">
        <v>278</v>
      </c>
      <c r="R161">
        <v>97</v>
      </c>
      <c r="S161" t="s">
        <v>570</v>
      </c>
      <c r="T161" t="s">
        <v>178</v>
      </c>
      <c r="U161" t="s">
        <v>285</v>
      </c>
    </row>
    <row r="162" spans="8:21" x14ac:dyDescent="0.25">
      <c r="H162">
        <v>180</v>
      </c>
      <c r="I162" t="s">
        <v>557</v>
      </c>
      <c r="J162" t="s">
        <v>178</v>
      </c>
      <c r="K162" t="s">
        <v>278</v>
      </c>
      <c r="R162">
        <v>97</v>
      </c>
      <c r="S162" t="s">
        <v>570</v>
      </c>
      <c r="T162" t="s">
        <v>178</v>
      </c>
      <c r="U162" t="s">
        <v>285</v>
      </c>
    </row>
    <row r="163" spans="8:21" x14ac:dyDescent="0.25">
      <c r="H163">
        <v>178</v>
      </c>
      <c r="I163" t="s">
        <v>27</v>
      </c>
      <c r="J163" t="s">
        <v>178</v>
      </c>
      <c r="K163" t="s">
        <v>278</v>
      </c>
      <c r="R163">
        <v>92</v>
      </c>
      <c r="S163" t="s">
        <v>399</v>
      </c>
      <c r="T163" t="s">
        <v>179</v>
      </c>
      <c r="U163" t="s">
        <v>285</v>
      </c>
    </row>
    <row r="164" spans="8:21" x14ac:dyDescent="0.25">
      <c r="H164">
        <v>140</v>
      </c>
      <c r="I164" t="s">
        <v>621</v>
      </c>
      <c r="J164" t="s">
        <v>258</v>
      </c>
      <c r="K164" t="s">
        <v>278</v>
      </c>
      <c r="R164">
        <v>92</v>
      </c>
      <c r="S164" t="s">
        <v>399</v>
      </c>
      <c r="T164" t="s">
        <v>179</v>
      </c>
      <c r="U164" t="s">
        <v>285</v>
      </c>
    </row>
    <row r="165" spans="8:21" x14ac:dyDescent="0.25">
      <c r="H165">
        <v>141</v>
      </c>
      <c r="I165" t="s">
        <v>586</v>
      </c>
      <c r="J165" t="s">
        <v>258</v>
      </c>
      <c r="K165" t="s">
        <v>278</v>
      </c>
      <c r="R165">
        <v>93</v>
      </c>
      <c r="S165" t="s">
        <v>400</v>
      </c>
      <c r="T165" t="s">
        <v>179</v>
      </c>
      <c r="U165" t="s">
        <v>285</v>
      </c>
    </row>
    <row r="166" spans="8:21" x14ac:dyDescent="0.25">
      <c r="H166">
        <v>142</v>
      </c>
      <c r="I166" t="s">
        <v>569</v>
      </c>
      <c r="J166" t="s">
        <v>258</v>
      </c>
      <c r="K166" t="s">
        <v>278</v>
      </c>
      <c r="R166">
        <v>93</v>
      </c>
      <c r="S166" t="s">
        <v>542</v>
      </c>
      <c r="T166" t="s">
        <v>179</v>
      </c>
      <c r="U166" t="s">
        <v>285</v>
      </c>
    </row>
    <row r="167" spans="8:21" x14ac:dyDescent="0.25">
      <c r="H167">
        <v>138</v>
      </c>
      <c r="I167" t="s">
        <v>163</v>
      </c>
      <c r="J167" t="s">
        <v>258</v>
      </c>
      <c r="K167" t="s">
        <v>278</v>
      </c>
      <c r="R167">
        <v>77</v>
      </c>
      <c r="S167" t="s">
        <v>301</v>
      </c>
      <c r="T167" t="s">
        <v>181</v>
      </c>
      <c r="U167" t="s">
        <v>285</v>
      </c>
    </row>
    <row r="168" spans="8:21" x14ac:dyDescent="0.25">
      <c r="H168">
        <v>139</v>
      </c>
      <c r="I168" t="s">
        <v>289</v>
      </c>
      <c r="J168" t="s">
        <v>258</v>
      </c>
      <c r="K168" t="s">
        <v>278</v>
      </c>
      <c r="R168">
        <v>77</v>
      </c>
      <c r="S168" t="s">
        <v>301</v>
      </c>
      <c r="T168" t="s">
        <v>181</v>
      </c>
      <c r="U168" t="s">
        <v>285</v>
      </c>
    </row>
    <row r="169" spans="8:21" x14ac:dyDescent="0.25">
      <c r="H169">
        <v>166</v>
      </c>
      <c r="I169" t="s">
        <v>561</v>
      </c>
      <c r="J169" t="s">
        <v>179</v>
      </c>
      <c r="K169" t="s">
        <v>278</v>
      </c>
      <c r="R169">
        <v>78</v>
      </c>
      <c r="S169" t="s">
        <v>504</v>
      </c>
      <c r="T169" t="s">
        <v>181</v>
      </c>
      <c r="U169" t="s">
        <v>285</v>
      </c>
    </row>
    <row r="170" spans="8:21" x14ac:dyDescent="0.25">
      <c r="H170">
        <v>167</v>
      </c>
      <c r="I170" t="s">
        <v>409</v>
      </c>
      <c r="J170" t="s">
        <v>179</v>
      </c>
      <c r="K170" t="s">
        <v>278</v>
      </c>
      <c r="R170">
        <v>78</v>
      </c>
      <c r="S170" t="s">
        <v>504</v>
      </c>
      <c r="T170" t="s">
        <v>181</v>
      </c>
      <c r="U170" t="s">
        <v>285</v>
      </c>
    </row>
    <row r="171" spans="8:21" x14ac:dyDescent="0.25">
      <c r="H171">
        <v>168</v>
      </c>
      <c r="I171" t="s">
        <v>295</v>
      </c>
      <c r="J171" t="s">
        <v>179</v>
      </c>
      <c r="K171" t="s">
        <v>278</v>
      </c>
      <c r="R171">
        <v>81</v>
      </c>
      <c r="S171" t="s">
        <v>306</v>
      </c>
      <c r="T171" t="s">
        <v>179</v>
      </c>
      <c r="U171" t="s">
        <v>285</v>
      </c>
    </row>
    <row r="172" spans="8:21" x14ac:dyDescent="0.25">
      <c r="H172">
        <v>161</v>
      </c>
      <c r="I172" t="s">
        <v>154</v>
      </c>
      <c r="J172" t="s">
        <v>179</v>
      </c>
      <c r="K172" t="s">
        <v>278</v>
      </c>
      <c r="R172">
        <v>81</v>
      </c>
      <c r="S172" t="s">
        <v>306</v>
      </c>
      <c r="T172" t="s">
        <v>179</v>
      </c>
      <c r="U172" t="s">
        <v>285</v>
      </c>
    </row>
    <row r="173" spans="8:21" x14ac:dyDescent="0.25">
      <c r="H173">
        <v>158</v>
      </c>
      <c r="I173" t="s">
        <v>624</v>
      </c>
      <c r="J173" t="s">
        <v>179</v>
      </c>
      <c r="K173" t="s">
        <v>278</v>
      </c>
      <c r="R173">
        <v>100</v>
      </c>
      <c r="S173" t="s">
        <v>651</v>
      </c>
      <c r="T173" t="s">
        <v>178</v>
      </c>
      <c r="U173" t="s">
        <v>285</v>
      </c>
    </row>
    <row r="174" spans="8:21" x14ac:dyDescent="0.25">
      <c r="H174">
        <v>169</v>
      </c>
      <c r="I174" t="s">
        <v>148</v>
      </c>
      <c r="J174" t="s">
        <v>179</v>
      </c>
      <c r="K174" t="s">
        <v>278</v>
      </c>
      <c r="R174">
        <v>100</v>
      </c>
      <c r="S174" t="s">
        <v>651</v>
      </c>
      <c r="T174" t="s">
        <v>178</v>
      </c>
      <c r="U174" t="s">
        <v>285</v>
      </c>
    </row>
    <row r="175" spans="8:21" x14ac:dyDescent="0.25">
      <c r="H175">
        <v>162</v>
      </c>
      <c r="I175" t="s">
        <v>518</v>
      </c>
      <c r="J175" t="s">
        <v>179</v>
      </c>
      <c r="K175" t="s">
        <v>278</v>
      </c>
      <c r="R175">
        <v>69</v>
      </c>
      <c r="S175" t="s">
        <v>646</v>
      </c>
      <c r="T175" t="s">
        <v>258</v>
      </c>
      <c r="U175" t="s">
        <v>285</v>
      </c>
    </row>
    <row r="176" spans="8:21" x14ac:dyDescent="0.25">
      <c r="H176">
        <v>163</v>
      </c>
      <c r="I176" t="s">
        <v>410</v>
      </c>
      <c r="J176" t="s">
        <v>179</v>
      </c>
      <c r="K176" t="s">
        <v>278</v>
      </c>
      <c r="R176">
        <v>69</v>
      </c>
      <c r="S176" t="s">
        <v>646</v>
      </c>
      <c r="T176" t="s">
        <v>258</v>
      </c>
      <c r="U176" t="s">
        <v>285</v>
      </c>
    </row>
    <row r="177" spans="8:21" x14ac:dyDescent="0.25">
      <c r="H177">
        <v>175</v>
      </c>
      <c r="I177" t="s">
        <v>622</v>
      </c>
      <c r="J177" t="s">
        <v>179</v>
      </c>
      <c r="K177" t="s">
        <v>278</v>
      </c>
      <c r="R177">
        <v>79</v>
      </c>
      <c r="S177" t="s">
        <v>105</v>
      </c>
      <c r="T177" t="s">
        <v>181</v>
      </c>
      <c r="U177" t="s">
        <v>285</v>
      </c>
    </row>
    <row r="178" spans="8:21" x14ac:dyDescent="0.25">
      <c r="H178">
        <v>159</v>
      </c>
      <c r="I178" t="s">
        <v>94</v>
      </c>
      <c r="J178" t="s">
        <v>179</v>
      </c>
      <c r="K178" t="s">
        <v>278</v>
      </c>
      <c r="R178">
        <v>79</v>
      </c>
      <c r="S178" t="s">
        <v>105</v>
      </c>
      <c r="T178" t="s">
        <v>181</v>
      </c>
      <c r="U178" t="s">
        <v>285</v>
      </c>
    </row>
    <row r="179" spans="8:21" x14ac:dyDescent="0.25">
      <c r="H179">
        <v>176</v>
      </c>
      <c r="I179" t="s">
        <v>411</v>
      </c>
      <c r="J179" t="s">
        <v>179</v>
      </c>
      <c r="K179" t="s">
        <v>278</v>
      </c>
      <c r="R179">
        <v>66</v>
      </c>
      <c r="S179" t="s">
        <v>15</v>
      </c>
      <c r="T179" t="s">
        <v>258</v>
      </c>
      <c r="U179" t="s">
        <v>285</v>
      </c>
    </row>
    <row r="180" spans="8:21" x14ac:dyDescent="0.25">
      <c r="H180">
        <v>170</v>
      </c>
      <c r="I180" t="s">
        <v>135</v>
      </c>
      <c r="J180" t="s">
        <v>179</v>
      </c>
      <c r="K180" t="s">
        <v>278</v>
      </c>
      <c r="R180">
        <v>66</v>
      </c>
      <c r="S180" t="s">
        <v>15</v>
      </c>
      <c r="T180" t="s">
        <v>258</v>
      </c>
      <c r="U180" t="s">
        <v>285</v>
      </c>
    </row>
    <row r="181" spans="8:21" x14ac:dyDescent="0.25">
      <c r="H181">
        <v>160</v>
      </c>
      <c r="I181" t="s">
        <v>412</v>
      </c>
      <c r="J181" t="s">
        <v>179</v>
      </c>
      <c r="K181" t="s">
        <v>278</v>
      </c>
      <c r="R181">
        <v>83</v>
      </c>
      <c r="S181" t="s">
        <v>308</v>
      </c>
      <c r="T181" t="s">
        <v>179</v>
      </c>
      <c r="U181" t="s">
        <v>285</v>
      </c>
    </row>
    <row r="182" spans="8:21" x14ac:dyDescent="0.25">
      <c r="H182">
        <v>157</v>
      </c>
      <c r="I182" t="s">
        <v>164</v>
      </c>
      <c r="J182" t="s">
        <v>179</v>
      </c>
      <c r="K182" t="s">
        <v>278</v>
      </c>
      <c r="R182">
        <v>83</v>
      </c>
      <c r="S182" t="s">
        <v>308</v>
      </c>
      <c r="T182" t="s">
        <v>179</v>
      </c>
      <c r="U182" t="s">
        <v>285</v>
      </c>
    </row>
    <row r="183" spans="8:21" x14ac:dyDescent="0.25">
      <c r="H183">
        <v>177</v>
      </c>
      <c r="I183" t="s">
        <v>623</v>
      </c>
      <c r="J183" t="s">
        <v>179</v>
      </c>
      <c r="K183" t="s">
        <v>278</v>
      </c>
      <c r="R183">
        <v>70</v>
      </c>
      <c r="S183" t="s">
        <v>397</v>
      </c>
      <c r="T183" t="s">
        <v>258</v>
      </c>
      <c r="U183" t="s">
        <v>285</v>
      </c>
    </row>
    <row r="184" spans="8:21" x14ac:dyDescent="0.25">
      <c r="H184">
        <v>164</v>
      </c>
      <c r="I184" t="s">
        <v>645</v>
      </c>
      <c r="J184" t="s">
        <v>179</v>
      </c>
      <c r="K184" t="s">
        <v>278</v>
      </c>
      <c r="R184">
        <v>70</v>
      </c>
      <c r="S184" t="s">
        <v>397</v>
      </c>
      <c r="T184" t="s">
        <v>258</v>
      </c>
      <c r="U184" t="s">
        <v>285</v>
      </c>
    </row>
    <row r="185" spans="8:21" x14ac:dyDescent="0.25">
      <c r="H185">
        <v>171</v>
      </c>
      <c r="I185" t="s">
        <v>166</v>
      </c>
      <c r="J185" t="s">
        <v>179</v>
      </c>
      <c r="K185" t="s">
        <v>278</v>
      </c>
      <c r="R185">
        <v>67</v>
      </c>
      <c r="S185" t="s">
        <v>415</v>
      </c>
      <c r="T185" t="s">
        <v>258</v>
      </c>
      <c r="U185" t="s">
        <v>285</v>
      </c>
    </row>
    <row r="186" spans="8:21" x14ac:dyDescent="0.25">
      <c r="H186">
        <v>165</v>
      </c>
      <c r="I186" t="s">
        <v>644</v>
      </c>
      <c r="J186" t="s">
        <v>179</v>
      </c>
      <c r="K186" t="s">
        <v>278</v>
      </c>
      <c r="R186">
        <v>67</v>
      </c>
      <c r="S186" t="s">
        <v>415</v>
      </c>
      <c r="T186" t="s">
        <v>258</v>
      </c>
      <c r="U186" t="s">
        <v>285</v>
      </c>
    </row>
    <row r="187" spans="8:21" x14ac:dyDescent="0.25">
      <c r="H187">
        <v>172</v>
      </c>
      <c r="I187" t="s">
        <v>521</v>
      </c>
      <c r="J187" t="s">
        <v>179</v>
      </c>
      <c r="K187" t="s">
        <v>278</v>
      </c>
      <c r="R187">
        <v>89</v>
      </c>
      <c r="S187" t="s">
        <v>401</v>
      </c>
      <c r="T187" t="s">
        <v>179</v>
      </c>
      <c r="U187" t="s">
        <v>285</v>
      </c>
    </row>
    <row r="188" spans="8:21" x14ac:dyDescent="0.25">
      <c r="H188">
        <v>173</v>
      </c>
      <c r="I188" t="s">
        <v>413</v>
      </c>
      <c r="J188" t="s">
        <v>179</v>
      </c>
      <c r="K188" t="s">
        <v>278</v>
      </c>
      <c r="R188">
        <v>89</v>
      </c>
      <c r="S188" t="s">
        <v>401</v>
      </c>
      <c r="T188" t="s">
        <v>179</v>
      </c>
      <c r="U188" t="s">
        <v>285</v>
      </c>
    </row>
    <row r="189" spans="8:21" x14ac:dyDescent="0.25">
      <c r="H189">
        <v>174</v>
      </c>
      <c r="I189" t="s">
        <v>549</v>
      </c>
      <c r="J189" t="s">
        <v>179</v>
      </c>
      <c r="K189" t="s">
        <v>278</v>
      </c>
      <c r="R189">
        <v>94</v>
      </c>
      <c r="S189" t="s">
        <v>534</v>
      </c>
      <c r="T189" t="s">
        <v>179</v>
      </c>
      <c r="U189" t="s">
        <v>285</v>
      </c>
    </row>
    <row r="190" spans="8:21" x14ac:dyDescent="0.25">
      <c r="H190">
        <v>188</v>
      </c>
      <c r="I190" t="s">
        <v>641</v>
      </c>
      <c r="J190" t="s">
        <v>181</v>
      </c>
      <c r="K190" t="s">
        <v>654</v>
      </c>
      <c r="R190">
        <v>94</v>
      </c>
      <c r="S190" t="s">
        <v>534</v>
      </c>
      <c r="T190" t="s">
        <v>179</v>
      </c>
      <c r="U190" t="s">
        <v>285</v>
      </c>
    </row>
    <row r="191" spans="8:21" x14ac:dyDescent="0.25">
      <c r="H191">
        <v>189</v>
      </c>
      <c r="I191" t="s">
        <v>640</v>
      </c>
      <c r="J191" t="s">
        <v>181</v>
      </c>
      <c r="K191" t="s">
        <v>654</v>
      </c>
      <c r="R191">
        <v>90</v>
      </c>
      <c r="S191" t="s">
        <v>402</v>
      </c>
      <c r="T191" t="s">
        <v>179</v>
      </c>
      <c r="U191" t="s">
        <v>285</v>
      </c>
    </row>
    <row r="192" spans="8:21" x14ac:dyDescent="0.25">
      <c r="H192">
        <v>190</v>
      </c>
      <c r="I192" t="s">
        <v>575</v>
      </c>
      <c r="J192" t="s">
        <v>181</v>
      </c>
      <c r="K192" t="s">
        <v>654</v>
      </c>
      <c r="R192">
        <v>90</v>
      </c>
      <c r="S192" t="s">
        <v>402</v>
      </c>
      <c r="T192" t="s">
        <v>179</v>
      </c>
      <c r="U192" t="s">
        <v>285</v>
      </c>
    </row>
    <row r="193" spans="8:21" x14ac:dyDescent="0.25">
      <c r="H193">
        <v>191</v>
      </c>
      <c r="I193" t="s">
        <v>655</v>
      </c>
      <c r="J193" t="s">
        <v>181</v>
      </c>
      <c r="K193" t="s">
        <v>654</v>
      </c>
      <c r="R193">
        <v>82</v>
      </c>
      <c r="S193" t="s">
        <v>309</v>
      </c>
      <c r="T193" t="s">
        <v>179</v>
      </c>
      <c r="U193" t="s">
        <v>285</v>
      </c>
    </row>
    <row r="194" spans="8:21" x14ac:dyDescent="0.25">
      <c r="H194">
        <v>192</v>
      </c>
      <c r="I194" t="s">
        <v>642</v>
      </c>
      <c r="J194" t="s">
        <v>181</v>
      </c>
      <c r="K194" t="s">
        <v>654</v>
      </c>
      <c r="R194">
        <v>82</v>
      </c>
      <c r="S194" t="s">
        <v>309</v>
      </c>
      <c r="T194" t="s">
        <v>179</v>
      </c>
      <c r="U194" t="s">
        <v>285</v>
      </c>
    </row>
    <row r="195" spans="8:21" x14ac:dyDescent="0.25">
      <c r="H195">
        <v>193</v>
      </c>
      <c r="I195" t="s">
        <v>436</v>
      </c>
      <c r="J195" t="s">
        <v>181</v>
      </c>
      <c r="K195" t="s">
        <v>654</v>
      </c>
      <c r="R195">
        <v>72</v>
      </c>
      <c r="S195" t="s">
        <v>302</v>
      </c>
      <c r="T195" t="s">
        <v>181</v>
      </c>
      <c r="U195" t="s">
        <v>285</v>
      </c>
    </row>
    <row r="196" spans="8:21" x14ac:dyDescent="0.25">
      <c r="H196">
        <v>194</v>
      </c>
      <c r="I196" t="s">
        <v>637</v>
      </c>
      <c r="J196" t="s">
        <v>181</v>
      </c>
      <c r="K196" t="s">
        <v>654</v>
      </c>
      <c r="R196">
        <v>72</v>
      </c>
      <c r="S196" t="s">
        <v>302</v>
      </c>
      <c r="T196" t="s">
        <v>181</v>
      </c>
      <c r="U196" t="s">
        <v>285</v>
      </c>
    </row>
    <row r="197" spans="8:21" x14ac:dyDescent="0.25">
      <c r="H197">
        <v>195</v>
      </c>
      <c r="I197" t="s">
        <v>585</v>
      </c>
      <c r="J197" t="s">
        <v>181</v>
      </c>
      <c r="K197" t="s">
        <v>654</v>
      </c>
      <c r="R197">
        <v>95</v>
      </c>
      <c r="S197" t="s">
        <v>533</v>
      </c>
      <c r="T197" t="s">
        <v>179</v>
      </c>
      <c r="U197" t="s">
        <v>285</v>
      </c>
    </row>
    <row r="198" spans="8:21" x14ac:dyDescent="0.25">
      <c r="H198">
        <v>186</v>
      </c>
      <c r="I198" t="s">
        <v>636</v>
      </c>
      <c r="J198" t="s">
        <v>181</v>
      </c>
      <c r="K198" t="s">
        <v>654</v>
      </c>
      <c r="R198">
        <v>95</v>
      </c>
      <c r="S198" t="s">
        <v>533</v>
      </c>
      <c r="T198" t="s">
        <v>179</v>
      </c>
      <c r="U198" t="s">
        <v>285</v>
      </c>
    </row>
    <row r="199" spans="8:21" x14ac:dyDescent="0.25">
      <c r="H199">
        <v>196</v>
      </c>
      <c r="I199" t="s">
        <v>564</v>
      </c>
      <c r="J199" t="s">
        <v>181</v>
      </c>
      <c r="K199" t="s">
        <v>654</v>
      </c>
      <c r="R199">
        <v>91</v>
      </c>
      <c r="S199" t="s">
        <v>403</v>
      </c>
      <c r="T199" t="s">
        <v>179</v>
      </c>
      <c r="U199" t="s">
        <v>285</v>
      </c>
    </row>
    <row r="200" spans="8:21" x14ac:dyDescent="0.25">
      <c r="H200">
        <v>197</v>
      </c>
      <c r="I200" t="s">
        <v>577</v>
      </c>
      <c r="J200" t="s">
        <v>181</v>
      </c>
      <c r="K200" t="s">
        <v>654</v>
      </c>
      <c r="R200">
        <v>91</v>
      </c>
      <c r="S200" t="s">
        <v>403</v>
      </c>
      <c r="T200" t="s">
        <v>179</v>
      </c>
      <c r="U200" t="s">
        <v>285</v>
      </c>
    </row>
    <row r="201" spans="8:21" x14ac:dyDescent="0.25">
      <c r="H201">
        <v>198</v>
      </c>
      <c r="I201" t="s">
        <v>434</v>
      </c>
      <c r="J201" t="s">
        <v>181</v>
      </c>
      <c r="K201" t="s">
        <v>654</v>
      </c>
      <c r="R201">
        <v>73</v>
      </c>
      <c r="S201" t="s">
        <v>115</v>
      </c>
      <c r="T201" t="s">
        <v>181</v>
      </c>
      <c r="U201" t="s">
        <v>285</v>
      </c>
    </row>
    <row r="202" spans="8:21" x14ac:dyDescent="0.25">
      <c r="H202">
        <v>187</v>
      </c>
      <c r="I202" t="s">
        <v>25</v>
      </c>
      <c r="J202" t="s">
        <v>181</v>
      </c>
      <c r="K202" t="s">
        <v>654</v>
      </c>
      <c r="R202">
        <v>73</v>
      </c>
      <c r="S202" t="s">
        <v>115</v>
      </c>
      <c r="T202" t="s">
        <v>181</v>
      </c>
      <c r="U202" t="s">
        <v>285</v>
      </c>
    </row>
    <row r="203" spans="8:21" x14ac:dyDescent="0.25">
      <c r="H203">
        <v>199</v>
      </c>
      <c r="I203" t="s">
        <v>95</v>
      </c>
      <c r="J203" t="s">
        <v>181</v>
      </c>
      <c r="K203" t="s">
        <v>654</v>
      </c>
      <c r="R203">
        <v>80</v>
      </c>
      <c r="S203" t="s">
        <v>554</v>
      </c>
      <c r="T203" t="s">
        <v>181</v>
      </c>
      <c r="U203" t="s">
        <v>285</v>
      </c>
    </row>
    <row r="204" spans="8:21" x14ac:dyDescent="0.25">
      <c r="H204">
        <v>216</v>
      </c>
      <c r="I204" t="s">
        <v>532</v>
      </c>
      <c r="J204" t="s">
        <v>178</v>
      </c>
      <c r="K204" t="s">
        <v>654</v>
      </c>
      <c r="R204">
        <v>80</v>
      </c>
      <c r="S204" t="s">
        <v>554</v>
      </c>
      <c r="T204" t="s">
        <v>181</v>
      </c>
      <c r="U204" t="s">
        <v>285</v>
      </c>
    </row>
    <row r="205" spans="8:21" x14ac:dyDescent="0.25">
      <c r="H205">
        <v>218</v>
      </c>
      <c r="I205" t="s">
        <v>380</v>
      </c>
      <c r="J205" t="s">
        <v>178</v>
      </c>
      <c r="K205" t="s">
        <v>654</v>
      </c>
      <c r="R205">
        <v>84</v>
      </c>
      <c r="S205" t="s">
        <v>300</v>
      </c>
      <c r="T205" t="s">
        <v>179</v>
      </c>
      <c r="U205" t="s">
        <v>285</v>
      </c>
    </row>
    <row r="206" spans="8:21" x14ac:dyDescent="0.25">
      <c r="H206">
        <v>680</v>
      </c>
      <c r="I206" t="s">
        <v>832</v>
      </c>
      <c r="J206" t="s">
        <v>178</v>
      </c>
      <c r="K206" t="s">
        <v>654</v>
      </c>
      <c r="R206">
        <v>84</v>
      </c>
      <c r="S206" t="s">
        <v>300</v>
      </c>
      <c r="T206" t="s">
        <v>179</v>
      </c>
      <c r="U206" t="s">
        <v>285</v>
      </c>
    </row>
    <row r="207" spans="8:21" x14ac:dyDescent="0.25">
      <c r="H207">
        <v>215</v>
      </c>
      <c r="I207" t="s">
        <v>603</v>
      </c>
      <c r="J207" t="s">
        <v>178</v>
      </c>
      <c r="K207" t="s">
        <v>654</v>
      </c>
      <c r="R207">
        <v>74</v>
      </c>
      <c r="S207" t="s">
        <v>547</v>
      </c>
      <c r="T207" t="s">
        <v>181</v>
      </c>
      <c r="U207" t="s">
        <v>285</v>
      </c>
    </row>
    <row r="208" spans="8:21" x14ac:dyDescent="0.25">
      <c r="H208">
        <v>217</v>
      </c>
      <c r="I208" t="s">
        <v>602</v>
      </c>
      <c r="J208" t="s">
        <v>178</v>
      </c>
      <c r="K208" t="s">
        <v>654</v>
      </c>
      <c r="R208">
        <v>74</v>
      </c>
      <c r="S208" t="s">
        <v>547</v>
      </c>
      <c r="T208" t="s">
        <v>181</v>
      </c>
      <c r="U208" t="s">
        <v>285</v>
      </c>
    </row>
    <row r="209" spans="8:21" x14ac:dyDescent="0.25">
      <c r="H209">
        <v>219</v>
      </c>
      <c r="I209" t="s">
        <v>515</v>
      </c>
      <c r="J209" t="s">
        <v>178</v>
      </c>
      <c r="K209" t="s">
        <v>654</v>
      </c>
      <c r="R209">
        <v>96</v>
      </c>
      <c r="S209" t="s">
        <v>573</v>
      </c>
      <c r="T209" t="s">
        <v>179</v>
      </c>
      <c r="U209" t="s">
        <v>285</v>
      </c>
    </row>
    <row r="210" spans="8:21" x14ac:dyDescent="0.25">
      <c r="H210">
        <v>470</v>
      </c>
      <c r="I210" t="s">
        <v>167</v>
      </c>
      <c r="J210" t="s">
        <v>258</v>
      </c>
      <c r="K210" t="s">
        <v>654</v>
      </c>
      <c r="R210">
        <v>96</v>
      </c>
      <c r="S210" t="s">
        <v>573</v>
      </c>
      <c r="T210" t="s">
        <v>179</v>
      </c>
      <c r="U210" t="s">
        <v>285</v>
      </c>
    </row>
    <row r="211" spans="8:21" x14ac:dyDescent="0.25">
      <c r="H211">
        <v>184</v>
      </c>
      <c r="I211" t="s">
        <v>633</v>
      </c>
      <c r="J211" t="s">
        <v>258</v>
      </c>
      <c r="K211" t="s">
        <v>654</v>
      </c>
      <c r="R211">
        <v>71</v>
      </c>
      <c r="S211" t="s">
        <v>303</v>
      </c>
      <c r="T211" t="s">
        <v>181</v>
      </c>
      <c r="U211" t="s">
        <v>285</v>
      </c>
    </row>
    <row r="212" spans="8:21" x14ac:dyDescent="0.25">
      <c r="H212">
        <v>185</v>
      </c>
      <c r="I212" t="s">
        <v>656</v>
      </c>
      <c r="J212" t="s">
        <v>258</v>
      </c>
      <c r="K212" t="s">
        <v>654</v>
      </c>
      <c r="R212">
        <v>71</v>
      </c>
      <c r="S212" t="s">
        <v>303</v>
      </c>
      <c r="T212" t="s">
        <v>181</v>
      </c>
      <c r="U212" t="s">
        <v>285</v>
      </c>
    </row>
    <row r="213" spans="8:21" x14ac:dyDescent="0.25">
      <c r="H213">
        <v>183</v>
      </c>
      <c r="I213" t="s">
        <v>632</v>
      </c>
      <c r="J213" t="s">
        <v>258</v>
      </c>
      <c r="K213" t="s">
        <v>654</v>
      </c>
      <c r="R213">
        <v>108</v>
      </c>
      <c r="S213" t="s">
        <v>138</v>
      </c>
      <c r="T213" t="s">
        <v>181</v>
      </c>
      <c r="U213" t="s">
        <v>279</v>
      </c>
    </row>
    <row r="214" spans="8:21" x14ac:dyDescent="0.25">
      <c r="H214">
        <v>211</v>
      </c>
      <c r="I214" t="s">
        <v>514</v>
      </c>
      <c r="J214" t="s">
        <v>179</v>
      </c>
      <c r="K214" t="s">
        <v>654</v>
      </c>
      <c r="R214">
        <v>108</v>
      </c>
      <c r="S214" t="s">
        <v>138</v>
      </c>
      <c r="T214" t="s">
        <v>181</v>
      </c>
      <c r="U214" t="s">
        <v>279</v>
      </c>
    </row>
    <row r="215" spans="8:21" x14ac:dyDescent="0.25">
      <c r="H215">
        <v>212</v>
      </c>
      <c r="I215" t="s">
        <v>584</v>
      </c>
      <c r="J215" t="s">
        <v>179</v>
      </c>
      <c r="K215" t="s">
        <v>654</v>
      </c>
      <c r="R215">
        <v>114</v>
      </c>
      <c r="S215" t="s">
        <v>647</v>
      </c>
      <c r="T215" t="s">
        <v>181</v>
      </c>
      <c r="U215" t="s">
        <v>279</v>
      </c>
    </row>
    <row r="216" spans="8:21" x14ac:dyDescent="0.25">
      <c r="H216">
        <v>200</v>
      </c>
      <c r="I216" t="s">
        <v>65</v>
      </c>
      <c r="J216" t="s">
        <v>179</v>
      </c>
      <c r="K216" t="s">
        <v>654</v>
      </c>
      <c r="R216">
        <v>114</v>
      </c>
      <c r="S216" t="s">
        <v>647</v>
      </c>
      <c r="T216" t="s">
        <v>181</v>
      </c>
      <c r="U216" t="s">
        <v>279</v>
      </c>
    </row>
    <row r="217" spans="8:21" x14ac:dyDescent="0.25">
      <c r="H217">
        <v>213</v>
      </c>
      <c r="I217" t="s">
        <v>639</v>
      </c>
      <c r="J217" t="s">
        <v>179</v>
      </c>
      <c r="K217" t="s">
        <v>654</v>
      </c>
      <c r="R217">
        <v>102</v>
      </c>
      <c r="S217" t="s">
        <v>567</v>
      </c>
      <c r="T217" t="s">
        <v>258</v>
      </c>
      <c r="U217" t="s">
        <v>279</v>
      </c>
    </row>
    <row r="218" spans="8:21" x14ac:dyDescent="0.25">
      <c r="H218">
        <v>201</v>
      </c>
      <c r="I218" t="s">
        <v>517</v>
      </c>
      <c r="J218" t="s">
        <v>179</v>
      </c>
      <c r="K218" t="s">
        <v>654</v>
      </c>
      <c r="R218">
        <v>102</v>
      </c>
      <c r="S218" t="s">
        <v>567</v>
      </c>
      <c r="T218" t="s">
        <v>258</v>
      </c>
      <c r="U218" t="s">
        <v>279</v>
      </c>
    </row>
    <row r="219" spans="8:21" x14ac:dyDescent="0.25">
      <c r="H219">
        <v>203</v>
      </c>
      <c r="I219" t="s">
        <v>536</v>
      </c>
      <c r="J219" t="s">
        <v>179</v>
      </c>
      <c r="K219" t="s">
        <v>654</v>
      </c>
      <c r="R219">
        <v>123</v>
      </c>
      <c r="S219" t="s">
        <v>440</v>
      </c>
      <c r="T219" t="s">
        <v>179</v>
      </c>
      <c r="U219" t="s">
        <v>279</v>
      </c>
    </row>
    <row r="220" spans="8:21" x14ac:dyDescent="0.25">
      <c r="H220">
        <v>202</v>
      </c>
      <c r="I220" t="s">
        <v>582</v>
      </c>
      <c r="J220" t="s">
        <v>179</v>
      </c>
      <c r="K220" t="s">
        <v>654</v>
      </c>
      <c r="R220">
        <v>123</v>
      </c>
      <c r="S220" t="s">
        <v>440</v>
      </c>
      <c r="T220" t="s">
        <v>179</v>
      </c>
      <c r="U220" t="s">
        <v>279</v>
      </c>
    </row>
    <row r="221" spans="8:21" x14ac:dyDescent="0.25">
      <c r="H221">
        <v>204</v>
      </c>
      <c r="I221" t="s">
        <v>638</v>
      </c>
      <c r="J221" t="s">
        <v>179</v>
      </c>
      <c r="K221" t="s">
        <v>654</v>
      </c>
      <c r="R221">
        <v>106</v>
      </c>
      <c r="S221" t="s">
        <v>177</v>
      </c>
      <c r="T221" t="s">
        <v>181</v>
      </c>
      <c r="U221" t="s">
        <v>279</v>
      </c>
    </row>
    <row r="222" spans="8:21" x14ac:dyDescent="0.25">
      <c r="H222">
        <v>205</v>
      </c>
      <c r="I222" t="s">
        <v>540</v>
      </c>
      <c r="J222" t="s">
        <v>179</v>
      </c>
      <c r="K222" t="s">
        <v>654</v>
      </c>
      <c r="R222">
        <v>106</v>
      </c>
      <c r="S222" t="s">
        <v>177</v>
      </c>
      <c r="T222" t="s">
        <v>181</v>
      </c>
      <c r="U222" t="s">
        <v>279</v>
      </c>
    </row>
    <row r="223" spans="8:21" x14ac:dyDescent="0.25">
      <c r="H223">
        <v>206</v>
      </c>
      <c r="I223" t="s">
        <v>467</v>
      </c>
      <c r="J223" t="s">
        <v>179</v>
      </c>
      <c r="K223" t="s">
        <v>654</v>
      </c>
      <c r="R223">
        <v>103</v>
      </c>
      <c r="S223" t="s">
        <v>581</v>
      </c>
      <c r="T223" t="s">
        <v>258</v>
      </c>
      <c r="U223" t="s">
        <v>279</v>
      </c>
    </row>
    <row r="224" spans="8:21" x14ac:dyDescent="0.25">
      <c r="H224">
        <v>207</v>
      </c>
      <c r="I224" t="s">
        <v>339</v>
      </c>
      <c r="J224" t="s">
        <v>179</v>
      </c>
      <c r="K224" t="s">
        <v>654</v>
      </c>
      <c r="R224">
        <v>103</v>
      </c>
      <c r="S224" t="s">
        <v>581</v>
      </c>
      <c r="T224" t="s">
        <v>258</v>
      </c>
      <c r="U224" t="s">
        <v>279</v>
      </c>
    </row>
    <row r="225" spans="8:21" x14ac:dyDescent="0.25">
      <c r="H225">
        <v>208</v>
      </c>
      <c r="I225" t="s">
        <v>562</v>
      </c>
      <c r="J225" t="s">
        <v>179</v>
      </c>
      <c r="K225" t="s">
        <v>654</v>
      </c>
      <c r="R225">
        <v>121</v>
      </c>
      <c r="S225" t="s">
        <v>311</v>
      </c>
      <c r="T225" t="s">
        <v>179</v>
      </c>
      <c r="U225" t="s">
        <v>279</v>
      </c>
    </row>
    <row r="226" spans="8:21" x14ac:dyDescent="0.25">
      <c r="H226">
        <v>209</v>
      </c>
      <c r="I226" t="s">
        <v>574</v>
      </c>
      <c r="J226" t="s">
        <v>179</v>
      </c>
      <c r="K226" t="s">
        <v>654</v>
      </c>
      <c r="R226">
        <v>121</v>
      </c>
      <c r="S226" t="s">
        <v>311</v>
      </c>
      <c r="T226" t="s">
        <v>179</v>
      </c>
      <c r="U226" t="s">
        <v>279</v>
      </c>
    </row>
    <row r="227" spans="8:21" x14ac:dyDescent="0.25">
      <c r="H227">
        <v>210</v>
      </c>
      <c r="I227" t="s">
        <v>526</v>
      </c>
      <c r="J227" t="s">
        <v>179</v>
      </c>
      <c r="K227" t="s">
        <v>654</v>
      </c>
      <c r="R227">
        <v>130</v>
      </c>
      <c r="S227" t="s">
        <v>634</v>
      </c>
      <c r="T227" t="s">
        <v>179</v>
      </c>
      <c r="U227" t="s">
        <v>279</v>
      </c>
    </row>
    <row r="228" spans="8:21" x14ac:dyDescent="0.25">
      <c r="H228">
        <v>214</v>
      </c>
      <c r="I228" t="s">
        <v>657</v>
      </c>
      <c r="J228" t="s">
        <v>179</v>
      </c>
      <c r="K228" t="s">
        <v>654</v>
      </c>
      <c r="R228">
        <v>130</v>
      </c>
      <c r="S228" t="s">
        <v>634</v>
      </c>
      <c r="T228" t="s">
        <v>179</v>
      </c>
      <c r="U228" t="s">
        <v>279</v>
      </c>
    </row>
    <row r="229" spans="8:21" x14ac:dyDescent="0.25">
      <c r="H229">
        <v>676</v>
      </c>
      <c r="I229" t="s">
        <v>419</v>
      </c>
      <c r="J229" t="s">
        <v>179</v>
      </c>
      <c r="K229" t="s">
        <v>654</v>
      </c>
      <c r="R229">
        <v>104</v>
      </c>
      <c r="S229" t="s">
        <v>558</v>
      </c>
      <c r="T229" t="s">
        <v>258</v>
      </c>
      <c r="U229" t="s">
        <v>279</v>
      </c>
    </row>
    <row r="230" spans="8:21" x14ac:dyDescent="0.25">
      <c r="H230">
        <v>233</v>
      </c>
      <c r="I230" t="s">
        <v>545</v>
      </c>
      <c r="J230" t="s">
        <v>181</v>
      </c>
      <c r="K230" t="s">
        <v>271</v>
      </c>
      <c r="R230">
        <v>104</v>
      </c>
      <c r="S230" t="s">
        <v>558</v>
      </c>
      <c r="T230" t="s">
        <v>258</v>
      </c>
      <c r="U230" t="s">
        <v>279</v>
      </c>
    </row>
    <row r="231" spans="8:21" x14ac:dyDescent="0.25">
      <c r="H231">
        <v>234</v>
      </c>
      <c r="I231" t="s">
        <v>553</v>
      </c>
      <c r="J231" t="s">
        <v>181</v>
      </c>
      <c r="K231" t="s">
        <v>271</v>
      </c>
      <c r="R231">
        <v>115</v>
      </c>
      <c r="S231" t="s">
        <v>522</v>
      </c>
      <c r="T231" t="s">
        <v>181</v>
      </c>
      <c r="U231" t="s">
        <v>279</v>
      </c>
    </row>
    <row r="232" spans="8:21" x14ac:dyDescent="0.25">
      <c r="H232">
        <v>229</v>
      </c>
      <c r="I232" t="s">
        <v>305</v>
      </c>
      <c r="J232" t="s">
        <v>181</v>
      </c>
      <c r="K232" t="s">
        <v>271</v>
      </c>
      <c r="R232">
        <v>115</v>
      </c>
      <c r="S232" t="s">
        <v>522</v>
      </c>
      <c r="T232" t="s">
        <v>181</v>
      </c>
      <c r="U232" t="s">
        <v>279</v>
      </c>
    </row>
    <row r="233" spans="8:21" x14ac:dyDescent="0.25">
      <c r="H233">
        <v>226</v>
      </c>
      <c r="I233" t="s">
        <v>121</v>
      </c>
      <c r="J233" t="s">
        <v>181</v>
      </c>
      <c r="K233" t="s">
        <v>271</v>
      </c>
      <c r="R233">
        <v>124</v>
      </c>
      <c r="S233" t="s">
        <v>35</v>
      </c>
      <c r="T233" t="s">
        <v>179</v>
      </c>
      <c r="U233" t="s">
        <v>279</v>
      </c>
    </row>
    <row r="234" spans="8:21" x14ac:dyDescent="0.25">
      <c r="H234">
        <v>227</v>
      </c>
      <c r="I234" t="s">
        <v>318</v>
      </c>
      <c r="J234" t="s">
        <v>181</v>
      </c>
      <c r="K234" t="s">
        <v>271</v>
      </c>
      <c r="R234">
        <v>124</v>
      </c>
      <c r="S234" t="s">
        <v>35</v>
      </c>
      <c r="T234" t="s">
        <v>179</v>
      </c>
      <c r="U234" t="s">
        <v>279</v>
      </c>
    </row>
    <row r="235" spans="8:21" x14ac:dyDescent="0.25">
      <c r="H235">
        <v>224</v>
      </c>
      <c r="I235" t="s">
        <v>48</v>
      </c>
      <c r="J235" t="s">
        <v>181</v>
      </c>
      <c r="K235" t="s">
        <v>271</v>
      </c>
      <c r="R235">
        <v>109</v>
      </c>
      <c r="S235" t="s">
        <v>75</v>
      </c>
      <c r="T235" t="s">
        <v>181</v>
      </c>
      <c r="U235" t="s">
        <v>279</v>
      </c>
    </row>
    <row r="236" spans="8:21" x14ac:dyDescent="0.25">
      <c r="H236">
        <v>230</v>
      </c>
      <c r="I236" t="s">
        <v>509</v>
      </c>
      <c r="J236" t="s">
        <v>181</v>
      </c>
      <c r="K236" t="s">
        <v>271</v>
      </c>
      <c r="R236">
        <v>109</v>
      </c>
      <c r="S236" t="s">
        <v>75</v>
      </c>
      <c r="T236" t="s">
        <v>181</v>
      </c>
      <c r="U236" t="s">
        <v>279</v>
      </c>
    </row>
    <row r="237" spans="8:21" x14ac:dyDescent="0.25">
      <c r="H237">
        <v>228</v>
      </c>
      <c r="I237" t="s">
        <v>319</v>
      </c>
      <c r="J237" t="s">
        <v>181</v>
      </c>
      <c r="K237" t="s">
        <v>271</v>
      </c>
      <c r="R237">
        <v>116</v>
      </c>
      <c r="S237" t="s">
        <v>72</v>
      </c>
      <c r="T237" t="s">
        <v>181</v>
      </c>
      <c r="U237" t="s">
        <v>279</v>
      </c>
    </row>
    <row r="238" spans="8:21" x14ac:dyDescent="0.25">
      <c r="H238">
        <v>672</v>
      </c>
      <c r="I238" t="s">
        <v>599</v>
      </c>
      <c r="J238" t="s">
        <v>181</v>
      </c>
      <c r="K238" t="s">
        <v>271</v>
      </c>
      <c r="R238">
        <v>116</v>
      </c>
      <c r="S238" t="s">
        <v>72</v>
      </c>
      <c r="T238" t="s">
        <v>181</v>
      </c>
      <c r="U238" t="s">
        <v>279</v>
      </c>
    </row>
    <row r="239" spans="8:21" x14ac:dyDescent="0.25">
      <c r="H239">
        <v>225</v>
      </c>
      <c r="I239" t="s">
        <v>4</v>
      </c>
      <c r="J239" t="s">
        <v>181</v>
      </c>
      <c r="K239" t="s">
        <v>271</v>
      </c>
      <c r="R239">
        <v>125</v>
      </c>
      <c r="S239" t="s">
        <v>55</v>
      </c>
      <c r="T239" t="s">
        <v>179</v>
      </c>
      <c r="U239" t="s">
        <v>279</v>
      </c>
    </row>
    <row r="240" spans="8:21" x14ac:dyDescent="0.25">
      <c r="H240">
        <v>231</v>
      </c>
      <c r="I240" t="s">
        <v>322</v>
      </c>
      <c r="J240" t="s">
        <v>181</v>
      </c>
      <c r="K240" t="s">
        <v>271</v>
      </c>
      <c r="R240">
        <v>125</v>
      </c>
      <c r="S240" t="s">
        <v>55</v>
      </c>
      <c r="T240" t="s">
        <v>179</v>
      </c>
      <c r="U240" t="s">
        <v>279</v>
      </c>
    </row>
    <row r="241" spans="8:21" x14ac:dyDescent="0.25">
      <c r="H241">
        <v>232</v>
      </c>
      <c r="I241" t="s">
        <v>98</v>
      </c>
      <c r="J241" t="s">
        <v>181</v>
      </c>
      <c r="K241" t="s">
        <v>271</v>
      </c>
      <c r="R241">
        <v>126</v>
      </c>
      <c r="S241" t="s">
        <v>85</v>
      </c>
      <c r="T241" t="s">
        <v>179</v>
      </c>
      <c r="U241" t="s">
        <v>279</v>
      </c>
    </row>
    <row r="242" spans="8:21" x14ac:dyDescent="0.25">
      <c r="H242">
        <v>250</v>
      </c>
      <c r="I242" t="s">
        <v>435</v>
      </c>
      <c r="J242" t="s">
        <v>178</v>
      </c>
      <c r="K242" t="s">
        <v>271</v>
      </c>
      <c r="R242">
        <v>126</v>
      </c>
      <c r="S242" t="s">
        <v>85</v>
      </c>
      <c r="T242" t="s">
        <v>179</v>
      </c>
      <c r="U242" t="s">
        <v>279</v>
      </c>
    </row>
    <row r="243" spans="8:21" x14ac:dyDescent="0.25">
      <c r="H243">
        <v>249</v>
      </c>
      <c r="I243" t="s">
        <v>353</v>
      </c>
      <c r="J243" t="s">
        <v>178</v>
      </c>
      <c r="K243" t="s">
        <v>271</v>
      </c>
      <c r="R243">
        <v>117</v>
      </c>
      <c r="S243" t="s">
        <v>404</v>
      </c>
      <c r="T243" t="s">
        <v>181</v>
      </c>
      <c r="U243" t="s">
        <v>279</v>
      </c>
    </row>
    <row r="244" spans="8:21" x14ac:dyDescent="0.25">
      <c r="H244">
        <v>251</v>
      </c>
      <c r="I244" t="s">
        <v>281</v>
      </c>
      <c r="J244" t="s">
        <v>178</v>
      </c>
      <c r="K244" t="s">
        <v>271</v>
      </c>
      <c r="R244">
        <v>117</v>
      </c>
      <c r="S244" t="s">
        <v>404</v>
      </c>
      <c r="T244" t="s">
        <v>181</v>
      </c>
      <c r="U244" t="s">
        <v>279</v>
      </c>
    </row>
    <row r="245" spans="8:21" x14ac:dyDescent="0.25">
      <c r="H245">
        <v>221</v>
      </c>
      <c r="I245" t="s">
        <v>497</v>
      </c>
      <c r="J245" t="s">
        <v>258</v>
      </c>
      <c r="K245" t="s">
        <v>271</v>
      </c>
      <c r="R245">
        <v>110</v>
      </c>
      <c r="S245" t="s">
        <v>519</v>
      </c>
      <c r="T245" t="s">
        <v>181</v>
      </c>
      <c r="U245" t="s">
        <v>279</v>
      </c>
    </row>
    <row r="246" spans="8:21" x14ac:dyDescent="0.25">
      <c r="H246">
        <v>222</v>
      </c>
      <c r="I246" t="s">
        <v>520</v>
      </c>
      <c r="J246" t="s">
        <v>258</v>
      </c>
      <c r="K246" t="s">
        <v>271</v>
      </c>
      <c r="R246">
        <v>110</v>
      </c>
      <c r="S246" t="s">
        <v>519</v>
      </c>
      <c r="T246" t="s">
        <v>181</v>
      </c>
      <c r="U246" t="s">
        <v>279</v>
      </c>
    </row>
    <row r="247" spans="8:21" x14ac:dyDescent="0.25">
      <c r="H247">
        <v>220</v>
      </c>
      <c r="I247" t="s">
        <v>29</v>
      </c>
      <c r="J247" t="s">
        <v>258</v>
      </c>
      <c r="K247" t="s">
        <v>271</v>
      </c>
      <c r="R247">
        <v>101</v>
      </c>
      <c r="S247" t="s">
        <v>159</v>
      </c>
      <c r="T247" t="s">
        <v>258</v>
      </c>
      <c r="U247" t="s">
        <v>279</v>
      </c>
    </row>
    <row r="248" spans="8:21" x14ac:dyDescent="0.25">
      <c r="H248">
        <v>223</v>
      </c>
      <c r="I248" t="s">
        <v>528</v>
      </c>
      <c r="J248" t="s">
        <v>258</v>
      </c>
      <c r="K248" t="s">
        <v>271</v>
      </c>
      <c r="R248">
        <v>101</v>
      </c>
      <c r="S248" t="s">
        <v>159</v>
      </c>
      <c r="T248" t="s">
        <v>258</v>
      </c>
      <c r="U248" t="s">
        <v>279</v>
      </c>
    </row>
    <row r="249" spans="8:21" x14ac:dyDescent="0.25">
      <c r="H249">
        <v>246</v>
      </c>
      <c r="I249" t="s">
        <v>416</v>
      </c>
      <c r="J249" t="s">
        <v>179</v>
      </c>
      <c r="K249" t="s">
        <v>271</v>
      </c>
      <c r="R249">
        <v>131</v>
      </c>
      <c r="S249" t="s">
        <v>406</v>
      </c>
      <c r="T249" t="s">
        <v>179</v>
      </c>
      <c r="U249" t="s">
        <v>279</v>
      </c>
    </row>
    <row r="250" spans="8:21" x14ac:dyDescent="0.25">
      <c r="H250">
        <v>241</v>
      </c>
      <c r="I250" t="s">
        <v>86</v>
      </c>
      <c r="J250" t="s">
        <v>179</v>
      </c>
      <c r="K250" t="s">
        <v>271</v>
      </c>
      <c r="R250">
        <v>131</v>
      </c>
      <c r="S250" t="s">
        <v>406</v>
      </c>
      <c r="T250" t="s">
        <v>179</v>
      </c>
      <c r="U250" t="s">
        <v>279</v>
      </c>
    </row>
    <row r="251" spans="8:21" x14ac:dyDescent="0.25">
      <c r="H251">
        <v>247</v>
      </c>
      <c r="I251" t="s">
        <v>512</v>
      </c>
      <c r="J251" t="s">
        <v>179</v>
      </c>
      <c r="K251" t="s">
        <v>271</v>
      </c>
      <c r="R251">
        <v>107</v>
      </c>
      <c r="S251" t="s">
        <v>143</v>
      </c>
      <c r="T251" t="s">
        <v>181</v>
      </c>
      <c r="U251" t="s">
        <v>279</v>
      </c>
    </row>
    <row r="252" spans="8:21" x14ac:dyDescent="0.25">
      <c r="H252">
        <v>237</v>
      </c>
      <c r="I252" t="s">
        <v>310</v>
      </c>
      <c r="J252" t="s">
        <v>179</v>
      </c>
      <c r="K252" t="s">
        <v>271</v>
      </c>
      <c r="R252">
        <v>107</v>
      </c>
      <c r="S252" t="s">
        <v>143</v>
      </c>
      <c r="T252" t="s">
        <v>181</v>
      </c>
      <c r="U252" t="s">
        <v>279</v>
      </c>
    </row>
    <row r="253" spans="8:21" x14ac:dyDescent="0.25">
      <c r="H253">
        <v>238</v>
      </c>
      <c r="I253" t="s">
        <v>658</v>
      </c>
      <c r="J253" t="s">
        <v>179</v>
      </c>
      <c r="K253" t="s">
        <v>271</v>
      </c>
      <c r="R253">
        <v>132</v>
      </c>
      <c r="S253" t="s">
        <v>559</v>
      </c>
      <c r="T253" t="s">
        <v>179</v>
      </c>
      <c r="U253" t="s">
        <v>279</v>
      </c>
    </row>
    <row r="254" spans="8:21" x14ac:dyDescent="0.25">
      <c r="H254">
        <v>243</v>
      </c>
      <c r="I254" t="s">
        <v>560</v>
      </c>
      <c r="J254" t="s">
        <v>179</v>
      </c>
      <c r="K254" t="s">
        <v>271</v>
      </c>
      <c r="R254">
        <v>132</v>
      </c>
      <c r="S254" t="s">
        <v>559</v>
      </c>
      <c r="T254" t="s">
        <v>179</v>
      </c>
      <c r="U254" t="s">
        <v>279</v>
      </c>
    </row>
    <row r="255" spans="8:21" x14ac:dyDescent="0.25">
      <c r="H255">
        <v>239</v>
      </c>
      <c r="I255" t="s">
        <v>539</v>
      </c>
      <c r="J255" t="s">
        <v>179</v>
      </c>
      <c r="K255" t="s">
        <v>271</v>
      </c>
      <c r="R255">
        <v>118</v>
      </c>
      <c r="S255" t="s">
        <v>648</v>
      </c>
      <c r="T255" t="s">
        <v>181</v>
      </c>
      <c r="U255" t="s">
        <v>279</v>
      </c>
    </row>
    <row r="256" spans="8:21" x14ac:dyDescent="0.25">
      <c r="H256">
        <v>244</v>
      </c>
      <c r="I256" t="s">
        <v>418</v>
      </c>
      <c r="J256" t="s">
        <v>179</v>
      </c>
      <c r="K256" t="s">
        <v>271</v>
      </c>
      <c r="R256">
        <v>118</v>
      </c>
      <c r="S256" t="s">
        <v>648</v>
      </c>
      <c r="T256" t="s">
        <v>181</v>
      </c>
      <c r="U256" t="s">
        <v>279</v>
      </c>
    </row>
    <row r="257" spans="8:21" x14ac:dyDescent="0.25">
      <c r="H257">
        <v>245</v>
      </c>
      <c r="I257" t="s">
        <v>297</v>
      </c>
      <c r="J257" t="s">
        <v>179</v>
      </c>
      <c r="K257" t="s">
        <v>271</v>
      </c>
      <c r="R257">
        <v>122</v>
      </c>
      <c r="S257" t="s">
        <v>583</v>
      </c>
      <c r="T257" t="s">
        <v>179</v>
      </c>
      <c r="U257" t="s">
        <v>279</v>
      </c>
    </row>
    <row r="258" spans="8:21" x14ac:dyDescent="0.25">
      <c r="H258">
        <v>236</v>
      </c>
      <c r="I258" t="s">
        <v>15</v>
      </c>
      <c r="J258" t="s">
        <v>179</v>
      </c>
      <c r="K258" t="s">
        <v>271</v>
      </c>
      <c r="R258">
        <v>122</v>
      </c>
      <c r="S258" t="s">
        <v>583</v>
      </c>
      <c r="T258" t="s">
        <v>179</v>
      </c>
      <c r="U258" t="s">
        <v>279</v>
      </c>
    </row>
    <row r="259" spans="8:21" x14ac:dyDescent="0.25">
      <c r="H259">
        <v>240</v>
      </c>
      <c r="I259" t="s">
        <v>274</v>
      </c>
      <c r="J259" t="s">
        <v>179</v>
      </c>
      <c r="K259" t="s">
        <v>271</v>
      </c>
      <c r="R259">
        <v>137</v>
      </c>
      <c r="S259" t="s">
        <v>631</v>
      </c>
      <c r="T259" t="s">
        <v>178</v>
      </c>
      <c r="U259" t="s">
        <v>279</v>
      </c>
    </row>
    <row r="260" spans="8:21" x14ac:dyDescent="0.25">
      <c r="H260">
        <v>248</v>
      </c>
      <c r="I260" t="s">
        <v>516</v>
      </c>
      <c r="J260" t="s">
        <v>179</v>
      </c>
      <c r="K260" t="s">
        <v>271</v>
      </c>
      <c r="R260">
        <v>137</v>
      </c>
      <c r="S260" t="s">
        <v>631</v>
      </c>
      <c r="T260" t="s">
        <v>178</v>
      </c>
      <c r="U260" t="s">
        <v>279</v>
      </c>
    </row>
    <row r="261" spans="8:21" x14ac:dyDescent="0.25">
      <c r="H261">
        <v>235</v>
      </c>
      <c r="I261" t="s">
        <v>158</v>
      </c>
      <c r="J261" t="s">
        <v>179</v>
      </c>
      <c r="K261" t="s">
        <v>271</v>
      </c>
      <c r="R261">
        <v>127</v>
      </c>
      <c r="S261" t="s">
        <v>635</v>
      </c>
      <c r="T261" t="s">
        <v>179</v>
      </c>
      <c r="U261" t="s">
        <v>279</v>
      </c>
    </row>
    <row r="262" spans="8:21" x14ac:dyDescent="0.25">
      <c r="H262">
        <v>262</v>
      </c>
      <c r="I262" t="s">
        <v>420</v>
      </c>
      <c r="J262" t="s">
        <v>181</v>
      </c>
      <c r="K262" t="s">
        <v>275</v>
      </c>
      <c r="R262">
        <v>127</v>
      </c>
      <c r="S262" t="s">
        <v>635</v>
      </c>
      <c r="T262" t="s">
        <v>179</v>
      </c>
      <c r="U262" t="s">
        <v>279</v>
      </c>
    </row>
    <row r="263" spans="8:21" x14ac:dyDescent="0.25">
      <c r="H263">
        <v>263</v>
      </c>
      <c r="I263" t="s">
        <v>111</v>
      </c>
      <c r="J263" t="s">
        <v>181</v>
      </c>
      <c r="K263" t="s">
        <v>275</v>
      </c>
      <c r="R263">
        <v>128</v>
      </c>
      <c r="S263" t="s">
        <v>120</v>
      </c>
      <c r="T263" t="s">
        <v>179</v>
      </c>
      <c r="U263" t="s">
        <v>279</v>
      </c>
    </row>
    <row r="264" spans="8:21" x14ac:dyDescent="0.25">
      <c r="H264">
        <v>260</v>
      </c>
      <c r="I264" t="s">
        <v>78</v>
      </c>
      <c r="J264" t="s">
        <v>181</v>
      </c>
      <c r="K264" t="s">
        <v>275</v>
      </c>
      <c r="R264">
        <v>128</v>
      </c>
      <c r="S264" t="s">
        <v>120</v>
      </c>
      <c r="T264" t="s">
        <v>179</v>
      </c>
      <c r="U264" t="s">
        <v>279</v>
      </c>
    </row>
    <row r="265" spans="8:21" x14ac:dyDescent="0.25">
      <c r="H265">
        <v>264</v>
      </c>
      <c r="I265" t="s">
        <v>173</v>
      </c>
      <c r="J265" t="s">
        <v>181</v>
      </c>
      <c r="K265" t="s">
        <v>275</v>
      </c>
      <c r="R265">
        <v>133</v>
      </c>
      <c r="S265" t="s">
        <v>407</v>
      </c>
      <c r="T265" t="s">
        <v>179</v>
      </c>
      <c r="U265" t="s">
        <v>279</v>
      </c>
    </row>
    <row r="266" spans="8:21" x14ac:dyDescent="0.25">
      <c r="H266">
        <v>265</v>
      </c>
      <c r="I266" t="s">
        <v>592</v>
      </c>
      <c r="J266" t="s">
        <v>181</v>
      </c>
      <c r="K266" t="s">
        <v>275</v>
      </c>
      <c r="R266">
        <v>133</v>
      </c>
      <c r="S266" t="s">
        <v>407</v>
      </c>
      <c r="T266" t="s">
        <v>179</v>
      </c>
      <c r="U266" t="s">
        <v>279</v>
      </c>
    </row>
    <row r="267" spans="8:21" x14ac:dyDescent="0.25">
      <c r="H267">
        <v>257</v>
      </c>
      <c r="I267" t="s">
        <v>523</v>
      </c>
      <c r="J267" t="s">
        <v>181</v>
      </c>
      <c r="K267" t="s">
        <v>275</v>
      </c>
      <c r="R267">
        <v>111</v>
      </c>
      <c r="S267" t="s">
        <v>146</v>
      </c>
      <c r="T267" t="s">
        <v>181</v>
      </c>
      <c r="U267" t="s">
        <v>279</v>
      </c>
    </row>
    <row r="268" spans="8:21" x14ac:dyDescent="0.25">
      <c r="H268">
        <v>258</v>
      </c>
      <c r="I268" t="s">
        <v>83</v>
      </c>
      <c r="J268" t="s">
        <v>181</v>
      </c>
      <c r="K268" t="s">
        <v>275</v>
      </c>
      <c r="R268">
        <v>111</v>
      </c>
      <c r="S268" t="s">
        <v>146</v>
      </c>
      <c r="T268" t="s">
        <v>181</v>
      </c>
      <c r="U268" t="s">
        <v>279</v>
      </c>
    </row>
    <row r="269" spans="8:21" x14ac:dyDescent="0.25">
      <c r="H269">
        <v>256</v>
      </c>
      <c r="I269" t="s">
        <v>421</v>
      </c>
      <c r="J269" t="s">
        <v>181</v>
      </c>
      <c r="K269" t="s">
        <v>275</v>
      </c>
      <c r="R269">
        <v>112</v>
      </c>
      <c r="S269" t="s">
        <v>145</v>
      </c>
      <c r="T269" t="s">
        <v>181</v>
      </c>
      <c r="U269" t="s">
        <v>279</v>
      </c>
    </row>
    <row r="270" spans="8:21" x14ac:dyDescent="0.25">
      <c r="H270">
        <v>261</v>
      </c>
      <c r="I270" t="s">
        <v>593</v>
      </c>
      <c r="J270" t="s">
        <v>181</v>
      </c>
      <c r="K270" t="s">
        <v>275</v>
      </c>
      <c r="R270">
        <v>112</v>
      </c>
      <c r="S270" t="s">
        <v>145</v>
      </c>
      <c r="T270" t="s">
        <v>181</v>
      </c>
      <c r="U270" t="s">
        <v>279</v>
      </c>
    </row>
    <row r="271" spans="8:21" x14ac:dyDescent="0.25">
      <c r="H271">
        <v>259</v>
      </c>
      <c r="I271" t="s">
        <v>537</v>
      </c>
      <c r="J271" t="s">
        <v>181</v>
      </c>
      <c r="K271" t="s">
        <v>275</v>
      </c>
      <c r="R271">
        <v>120</v>
      </c>
      <c r="S271" t="s">
        <v>313</v>
      </c>
      <c r="T271" t="s">
        <v>179</v>
      </c>
      <c r="U271" t="s">
        <v>279</v>
      </c>
    </row>
    <row r="272" spans="8:21" x14ac:dyDescent="0.25">
      <c r="H272">
        <v>285</v>
      </c>
      <c r="I272" t="s">
        <v>100</v>
      </c>
      <c r="J272" t="s">
        <v>178</v>
      </c>
      <c r="K272" t="s">
        <v>275</v>
      </c>
      <c r="R272">
        <v>120</v>
      </c>
      <c r="S272" t="s">
        <v>313</v>
      </c>
      <c r="T272" t="s">
        <v>179</v>
      </c>
      <c r="U272" t="s">
        <v>279</v>
      </c>
    </row>
    <row r="273" spans="8:21" x14ac:dyDescent="0.25">
      <c r="H273">
        <v>286</v>
      </c>
      <c r="I273" t="s">
        <v>611</v>
      </c>
      <c r="J273" t="s">
        <v>178</v>
      </c>
      <c r="K273" t="s">
        <v>275</v>
      </c>
      <c r="R273">
        <v>136</v>
      </c>
      <c r="S273" t="s">
        <v>97</v>
      </c>
      <c r="T273" t="s">
        <v>178</v>
      </c>
      <c r="U273" t="s">
        <v>279</v>
      </c>
    </row>
    <row r="274" spans="8:21" x14ac:dyDescent="0.25">
      <c r="H274">
        <v>283</v>
      </c>
      <c r="I274" t="s">
        <v>56</v>
      </c>
      <c r="J274" t="s">
        <v>178</v>
      </c>
      <c r="K274" t="s">
        <v>275</v>
      </c>
      <c r="R274">
        <v>136</v>
      </c>
      <c r="S274" t="s">
        <v>97</v>
      </c>
      <c r="T274" t="s">
        <v>178</v>
      </c>
      <c r="U274" t="s">
        <v>279</v>
      </c>
    </row>
    <row r="275" spans="8:21" x14ac:dyDescent="0.25">
      <c r="H275">
        <v>284</v>
      </c>
      <c r="I275" t="s">
        <v>125</v>
      </c>
      <c r="J275" t="s">
        <v>178</v>
      </c>
      <c r="K275" t="s">
        <v>275</v>
      </c>
      <c r="R275">
        <v>134</v>
      </c>
      <c r="S275" t="s">
        <v>568</v>
      </c>
      <c r="T275" t="s">
        <v>179</v>
      </c>
      <c r="U275" t="s">
        <v>279</v>
      </c>
    </row>
    <row r="276" spans="8:21" x14ac:dyDescent="0.25">
      <c r="H276">
        <v>254</v>
      </c>
      <c r="I276" t="s">
        <v>563</v>
      </c>
      <c r="J276" t="s">
        <v>258</v>
      </c>
      <c r="K276" t="s">
        <v>275</v>
      </c>
      <c r="R276">
        <v>134</v>
      </c>
      <c r="S276" t="s">
        <v>568</v>
      </c>
      <c r="T276" t="s">
        <v>179</v>
      </c>
      <c r="U276" t="s">
        <v>279</v>
      </c>
    </row>
    <row r="277" spans="8:21" x14ac:dyDescent="0.25">
      <c r="H277">
        <v>253</v>
      </c>
      <c r="I277" t="s">
        <v>35</v>
      </c>
      <c r="J277" t="s">
        <v>258</v>
      </c>
      <c r="K277" t="s">
        <v>275</v>
      </c>
      <c r="R277">
        <v>105</v>
      </c>
      <c r="S277" t="s">
        <v>405</v>
      </c>
      <c r="T277" t="s">
        <v>258</v>
      </c>
      <c r="U277" t="s">
        <v>279</v>
      </c>
    </row>
    <row r="278" spans="8:21" x14ac:dyDescent="0.25">
      <c r="H278">
        <v>255</v>
      </c>
      <c r="I278" t="s">
        <v>174</v>
      </c>
      <c r="J278" t="s">
        <v>258</v>
      </c>
      <c r="K278" t="s">
        <v>275</v>
      </c>
      <c r="R278">
        <v>105</v>
      </c>
      <c r="S278" t="s">
        <v>405</v>
      </c>
      <c r="T278" t="s">
        <v>258</v>
      </c>
      <c r="U278" t="s">
        <v>279</v>
      </c>
    </row>
    <row r="279" spans="8:21" x14ac:dyDescent="0.25">
      <c r="H279">
        <v>274</v>
      </c>
      <c r="I279" t="s">
        <v>591</v>
      </c>
      <c r="J279" t="s">
        <v>179</v>
      </c>
      <c r="K279" t="s">
        <v>275</v>
      </c>
      <c r="R279">
        <v>113</v>
      </c>
      <c r="S279" t="s">
        <v>170</v>
      </c>
      <c r="T279" t="s">
        <v>181</v>
      </c>
      <c r="U279" t="s">
        <v>279</v>
      </c>
    </row>
    <row r="280" spans="8:21" x14ac:dyDescent="0.25">
      <c r="H280">
        <v>275</v>
      </c>
      <c r="I280" t="s">
        <v>324</v>
      </c>
      <c r="J280" t="s">
        <v>179</v>
      </c>
      <c r="K280" t="s">
        <v>275</v>
      </c>
      <c r="R280">
        <v>113</v>
      </c>
      <c r="S280" t="s">
        <v>170</v>
      </c>
      <c r="T280" t="s">
        <v>181</v>
      </c>
      <c r="U280" t="s">
        <v>279</v>
      </c>
    </row>
    <row r="281" spans="8:21" x14ac:dyDescent="0.25">
      <c r="H281">
        <v>276</v>
      </c>
      <c r="I281" t="s">
        <v>589</v>
      </c>
      <c r="J281" t="s">
        <v>179</v>
      </c>
      <c r="K281" t="s">
        <v>275</v>
      </c>
      <c r="R281">
        <v>135</v>
      </c>
      <c r="S281" t="s">
        <v>54</v>
      </c>
      <c r="T281" t="s">
        <v>178</v>
      </c>
      <c r="U281" t="s">
        <v>279</v>
      </c>
    </row>
    <row r="282" spans="8:21" x14ac:dyDescent="0.25">
      <c r="H282">
        <v>268</v>
      </c>
      <c r="I282" t="s">
        <v>659</v>
      </c>
      <c r="J282" t="s">
        <v>179</v>
      </c>
      <c r="K282" t="s">
        <v>275</v>
      </c>
      <c r="R282">
        <v>135</v>
      </c>
      <c r="S282" t="s">
        <v>54</v>
      </c>
      <c r="T282" t="s">
        <v>178</v>
      </c>
      <c r="U282" t="s">
        <v>279</v>
      </c>
    </row>
    <row r="283" spans="8:21" x14ac:dyDescent="0.25">
      <c r="H283">
        <v>277</v>
      </c>
      <c r="I283" t="s">
        <v>155</v>
      </c>
      <c r="J283" t="s">
        <v>179</v>
      </c>
      <c r="K283" t="s">
        <v>275</v>
      </c>
      <c r="R283">
        <v>129</v>
      </c>
      <c r="S283" t="s">
        <v>408</v>
      </c>
      <c r="T283" t="s">
        <v>179</v>
      </c>
      <c r="U283" t="s">
        <v>279</v>
      </c>
    </row>
    <row r="284" spans="8:21" x14ac:dyDescent="0.25">
      <c r="H284">
        <v>269</v>
      </c>
      <c r="I284" t="s">
        <v>597</v>
      </c>
      <c r="J284" t="s">
        <v>179</v>
      </c>
      <c r="K284" t="s">
        <v>275</v>
      </c>
      <c r="R284">
        <v>129</v>
      </c>
      <c r="S284" t="s">
        <v>408</v>
      </c>
      <c r="T284" t="s">
        <v>179</v>
      </c>
      <c r="U284" t="s">
        <v>279</v>
      </c>
    </row>
    <row r="285" spans="8:21" x14ac:dyDescent="0.25">
      <c r="H285">
        <v>266</v>
      </c>
      <c r="I285" t="s">
        <v>61</v>
      </c>
      <c r="J285" t="s">
        <v>179</v>
      </c>
      <c r="K285" t="s">
        <v>275</v>
      </c>
      <c r="R285">
        <v>166</v>
      </c>
      <c r="S285" t="s">
        <v>561</v>
      </c>
      <c r="T285" t="s">
        <v>179</v>
      </c>
      <c r="U285" t="s">
        <v>278</v>
      </c>
    </row>
    <row r="286" spans="8:21" x14ac:dyDescent="0.25">
      <c r="H286">
        <v>270</v>
      </c>
      <c r="I286" t="s">
        <v>128</v>
      </c>
      <c r="J286" t="s">
        <v>179</v>
      </c>
      <c r="K286" t="s">
        <v>275</v>
      </c>
      <c r="R286">
        <v>166</v>
      </c>
      <c r="S286" t="s">
        <v>561</v>
      </c>
      <c r="T286" t="s">
        <v>179</v>
      </c>
      <c r="U286" t="s">
        <v>278</v>
      </c>
    </row>
    <row r="287" spans="8:21" x14ac:dyDescent="0.25">
      <c r="H287">
        <v>278</v>
      </c>
      <c r="I287" t="s">
        <v>598</v>
      </c>
      <c r="J287" t="s">
        <v>179</v>
      </c>
      <c r="K287" t="s">
        <v>275</v>
      </c>
      <c r="R287">
        <v>167</v>
      </c>
      <c r="S287" t="s">
        <v>409</v>
      </c>
      <c r="T287" t="s">
        <v>179</v>
      </c>
      <c r="U287" t="s">
        <v>278</v>
      </c>
    </row>
    <row r="288" spans="8:21" x14ac:dyDescent="0.25">
      <c r="H288">
        <v>271</v>
      </c>
      <c r="I288" t="s">
        <v>422</v>
      </c>
      <c r="J288" t="s">
        <v>179</v>
      </c>
      <c r="K288" t="s">
        <v>275</v>
      </c>
      <c r="R288">
        <v>167</v>
      </c>
      <c r="S288" t="s">
        <v>409</v>
      </c>
      <c r="T288" t="s">
        <v>179</v>
      </c>
      <c r="U288" t="s">
        <v>278</v>
      </c>
    </row>
    <row r="289" spans="8:21" x14ac:dyDescent="0.25">
      <c r="H289">
        <v>272</v>
      </c>
      <c r="I289" t="s">
        <v>133</v>
      </c>
      <c r="J289" t="s">
        <v>179</v>
      </c>
      <c r="K289" t="s">
        <v>275</v>
      </c>
      <c r="R289">
        <v>143</v>
      </c>
      <c r="S289" t="s">
        <v>620</v>
      </c>
      <c r="T289" t="s">
        <v>181</v>
      </c>
      <c r="U289" t="s">
        <v>278</v>
      </c>
    </row>
    <row r="290" spans="8:21" x14ac:dyDescent="0.25">
      <c r="H290">
        <v>279</v>
      </c>
      <c r="I290" t="s">
        <v>423</v>
      </c>
      <c r="J290" t="s">
        <v>179</v>
      </c>
      <c r="K290" t="s">
        <v>275</v>
      </c>
      <c r="R290">
        <v>143</v>
      </c>
      <c r="S290" t="s">
        <v>620</v>
      </c>
      <c r="T290" t="s">
        <v>181</v>
      </c>
      <c r="U290" t="s">
        <v>278</v>
      </c>
    </row>
    <row r="291" spans="8:21" x14ac:dyDescent="0.25">
      <c r="H291">
        <v>280</v>
      </c>
      <c r="I291" t="s">
        <v>424</v>
      </c>
      <c r="J291" t="s">
        <v>179</v>
      </c>
      <c r="K291" t="s">
        <v>275</v>
      </c>
      <c r="R291">
        <v>168</v>
      </c>
      <c r="S291" t="s">
        <v>295</v>
      </c>
      <c r="T291" t="s">
        <v>179</v>
      </c>
      <c r="U291" t="s">
        <v>278</v>
      </c>
    </row>
    <row r="292" spans="8:21" x14ac:dyDescent="0.25">
      <c r="H292">
        <v>281</v>
      </c>
      <c r="I292" t="s">
        <v>596</v>
      </c>
      <c r="J292" t="s">
        <v>179</v>
      </c>
      <c r="K292" t="s">
        <v>275</v>
      </c>
      <c r="R292">
        <v>168</v>
      </c>
      <c r="S292" t="s">
        <v>295</v>
      </c>
      <c r="T292" t="s">
        <v>179</v>
      </c>
      <c r="U292" t="s">
        <v>278</v>
      </c>
    </row>
    <row r="293" spans="8:21" x14ac:dyDescent="0.25">
      <c r="H293">
        <v>267</v>
      </c>
      <c r="I293" t="s">
        <v>140</v>
      </c>
      <c r="J293" t="s">
        <v>179</v>
      </c>
      <c r="K293" t="s">
        <v>275</v>
      </c>
      <c r="R293">
        <v>154</v>
      </c>
      <c r="S293" t="s">
        <v>618</v>
      </c>
      <c r="T293" t="s">
        <v>181</v>
      </c>
      <c r="U293" t="s">
        <v>278</v>
      </c>
    </row>
    <row r="294" spans="8:21" x14ac:dyDescent="0.25">
      <c r="H294">
        <v>282</v>
      </c>
      <c r="I294" t="s">
        <v>612</v>
      </c>
      <c r="J294" t="s">
        <v>179</v>
      </c>
      <c r="K294" t="s">
        <v>275</v>
      </c>
      <c r="R294">
        <v>154</v>
      </c>
      <c r="S294" t="s">
        <v>618</v>
      </c>
      <c r="T294" t="s">
        <v>181</v>
      </c>
      <c r="U294" t="s">
        <v>278</v>
      </c>
    </row>
    <row r="295" spans="8:21" x14ac:dyDescent="0.25">
      <c r="H295">
        <v>273</v>
      </c>
      <c r="I295" t="s">
        <v>425</v>
      </c>
      <c r="J295" t="s">
        <v>179</v>
      </c>
      <c r="K295" t="s">
        <v>275</v>
      </c>
      <c r="R295">
        <v>144</v>
      </c>
      <c r="S295" t="s">
        <v>525</v>
      </c>
      <c r="T295" t="s">
        <v>181</v>
      </c>
      <c r="U295" t="s">
        <v>278</v>
      </c>
    </row>
    <row r="296" spans="8:21" x14ac:dyDescent="0.25">
      <c r="H296">
        <v>667</v>
      </c>
      <c r="I296" t="s">
        <v>615</v>
      </c>
      <c r="J296" t="s">
        <v>181</v>
      </c>
      <c r="K296" t="s">
        <v>280</v>
      </c>
      <c r="R296">
        <v>144</v>
      </c>
      <c r="S296" t="s">
        <v>525</v>
      </c>
      <c r="T296" t="s">
        <v>181</v>
      </c>
      <c r="U296" t="s">
        <v>278</v>
      </c>
    </row>
    <row r="297" spans="8:21" x14ac:dyDescent="0.25">
      <c r="H297">
        <v>290</v>
      </c>
      <c r="I297" t="s">
        <v>326</v>
      </c>
      <c r="J297" t="s">
        <v>181</v>
      </c>
      <c r="K297" t="s">
        <v>280</v>
      </c>
      <c r="R297">
        <v>145</v>
      </c>
      <c r="S297" t="s">
        <v>552</v>
      </c>
      <c r="T297" t="s">
        <v>181</v>
      </c>
      <c r="U297" t="s">
        <v>278</v>
      </c>
    </row>
    <row r="298" spans="8:21" x14ac:dyDescent="0.25">
      <c r="H298">
        <v>294</v>
      </c>
      <c r="I298" t="s">
        <v>118</v>
      </c>
      <c r="J298" t="s">
        <v>181</v>
      </c>
      <c r="K298" t="s">
        <v>280</v>
      </c>
      <c r="R298">
        <v>145</v>
      </c>
      <c r="S298" t="s">
        <v>552</v>
      </c>
      <c r="T298" t="s">
        <v>181</v>
      </c>
      <c r="U298" t="s">
        <v>278</v>
      </c>
    </row>
    <row r="299" spans="8:21" x14ac:dyDescent="0.25">
      <c r="H299">
        <v>297</v>
      </c>
      <c r="I299" t="s">
        <v>614</v>
      </c>
      <c r="J299" t="s">
        <v>181</v>
      </c>
      <c r="K299" t="s">
        <v>280</v>
      </c>
      <c r="R299">
        <v>146</v>
      </c>
      <c r="S299" t="s">
        <v>57</v>
      </c>
      <c r="T299" t="s">
        <v>181</v>
      </c>
      <c r="U299" t="s">
        <v>278</v>
      </c>
    </row>
    <row r="300" spans="8:21" x14ac:dyDescent="0.25">
      <c r="H300">
        <v>295</v>
      </c>
      <c r="I300" t="s">
        <v>110</v>
      </c>
      <c r="J300" t="s">
        <v>181</v>
      </c>
      <c r="K300" t="s">
        <v>280</v>
      </c>
      <c r="R300">
        <v>146</v>
      </c>
      <c r="S300" t="s">
        <v>57</v>
      </c>
      <c r="T300" t="s">
        <v>181</v>
      </c>
      <c r="U300" t="s">
        <v>278</v>
      </c>
    </row>
    <row r="301" spans="8:21" x14ac:dyDescent="0.25">
      <c r="H301">
        <v>292</v>
      </c>
      <c r="I301" t="s">
        <v>93</v>
      </c>
      <c r="J301" t="s">
        <v>181</v>
      </c>
      <c r="K301" t="s">
        <v>280</v>
      </c>
      <c r="R301">
        <v>161</v>
      </c>
      <c r="S301" t="s">
        <v>154</v>
      </c>
      <c r="T301" t="s">
        <v>179</v>
      </c>
      <c r="U301" t="s">
        <v>278</v>
      </c>
    </row>
    <row r="302" spans="8:21" x14ac:dyDescent="0.25">
      <c r="H302">
        <v>293</v>
      </c>
      <c r="I302" t="s">
        <v>157</v>
      </c>
      <c r="J302" t="s">
        <v>181</v>
      </c>
      <c r="K302" t="s">
        <v>280</v>
      </c>
      <c r="R302">
        <v>161</v>
      </c>
      <c r="S302" t="s">
        <v>154</v>
      </c>
      <c r="T302" t="s">
        <v>179</v>
      </c>
      <c r="U302" t="s">
        <v>278</v>
      </c>
    </row>
    <row r="303" spans="8:21" x14ac:dyDescent="0.25">
      <c r="H303">
        <v>296</v>
      </c>
      <c r="I303" t="s">
        <v>103</v>
      </c>
      <c r="J303" t="s">
        <v>181</v>
      </c>
      <c r="K303" t="s">
        <v>280</v>
      </c>
      <c r="R303">
        <v>147</v>
      </c>
      <c r="S303" t="s">
        <v>349</v>
      </c>
      <c r="T303" t="s">
        <v>181</v>
      </c>
      <c r="U303" t="s">
        <v>278</v>
      </c>
    </row>
    <row r="304" spans="8:21" x14ac:dyDescent="0.25">
      <c r="H304">
        <v>291</v>
      </c>
      <c r="I304" t="s">
        <v>90</v>
      </c>
      <c r="J304" t="s">
        <v>181</v>
      </c>
      <c r="K304" t="s">
        <v>280</v>
      </c>
      <c r="R304">
        <v>147</v>
      </c>
      <c r="S304" t="s">
        <v>565</v>
      </c>
      <c r="T304" t="s">
        <v>181</v>
      </c>
      <c r="U304" t="s">
        <v>278</v>
      </c>
    </row>
    <row r="305" spans="8:21" x14ac:dyDescent="0.25">
      <c r="H305">
        <v>298</v>
      </c>
      <c r="I305" t="s">
        <v>608</v>
      </c>
      <c r="J305" t="s">
        <v>181</v>
      </c>
      <c r="K305" t="s">
        <v>280</v>
      </c>
      <c r="R305">
        <v>148</v>
      </c>
      <c r="S305" t="s">
        <v>530</v>
      </c>
      <c r="T305" t="s">
        <v>181</v>
      </c>
      <c r="U305" t="s">
        <v>278</v>
      </c>
    </row>
    <row r="306" spans="8:21" x14ac:dyDescent="0.25">
      <c r="H306">
        <v>310</v>
      </c>
      <c r="I306" t="s">
        <v>511</v>
      </c>
      <c r="J306" t="s">
        <v>178</v>
      </c>
      <c r="K306" t="s">
        <v>280</v>
      </c>
      <c r="R306">
        <v>148</v>
      </c>
      <c r="S306" t="s">
        <v>530</v>
      </c>
      <c r="T306" t="s">
        <v>181</v>
      </c>
      <c r="U306" t="s">
        <v>278</v>
      </c>
    </row>
    <row r="307" spans="8:21" x14ac:dyDescent="0.25">
      <c r="H307">
        <v>311</v>
      </c>
      <c r="I307" t="s">
        <v>426</v>
      </c>
      <c r="J307" t="s">
        <v>178</v>
      </c>
      <c r="K307" t="s">
        <v>280</v>
      </c>
      <c r="R307">
        <v>179</v>
      </c>
      <c r="S307" t="s">
        <v>151</v>
      </c>
      <c r="T307" t="s">
        <v>178</v>
      </c>
      <c r="U307" t="s">
        <v>278</v>
      </c>
    </row>
    <row r="308" spans="8:21" x14ac:dyDescent="0.25">
      <c r="H308">
        <v>313</v>
      </c>
      <c r="I308" t="s">
        <v>555</v>
      </c>
      <c r="J308" t="s">
        <v>178</v>
      </c>
      <c r="K308" t="s">
        <v>280</v>
      </c>
      <c r="R308">
        <v>179</v>
      </c>
      <c r="S308" t="s">
        <v>151</v>
      </c>
      <c r="T308" t="s">
        <v>178</v>
      </c>
      <c r="U308" t="s">
        <v>278</v>
      </c>
    </row>
    <row r="309" spans="8:21" x14ac:dyDescent="0.25">
      <c r="H309">
        <v>312</v>
      </c>
      <c r="I309" t="s">
        <v>578</v>
      </c>
      <c r="J309" t="s">
        <v>178</v>
      </c>
      <c r="K309" t="s">
        <v>280</v>
      </c>
      <c r="R309">
        <v>158</v>
      </c>
      <c r="S309" t="s">
        <v>624</v>
      </c>
      <c r="T309" t="s">
        <v>179</v>
      </c>
      <c r="U309" t="s">
        <v>278</v>
      </c>
    </row>
    <row r="310" spans="8:21" x14ac:dyDescent="0.25">
      <c r="H310">
        <v>287</v>
      </c>
      <c r="I310" t="s">
        <v>26</v>
      </c>
      <c r="J310" t="s">
        <v>258</v>
      </c>
      <c r="K310" t="s">
        <v>280</v>
      </c>
      <c r="R310">
        <v>158</v>
      </c>
      <c r="S310" t="s">
        <v>624</v>
      </c>
      <c r="T310" t="s">
        <v>179</v>
      </c>
      <c r="U310" t="s">
        <v>278</v>
      </c>
    </row>
    <row r="311" spans="8:21" x14ac:dyDescent="0.25">
      <c r="H311">
        <v>288</v>
      </c>
      <c r="I311" t="s">
        <v>31</v>
      </c>
      <c r="J311" t="s">
        <v>258</v>
      </c>
      <c r="K311" t="s">
        <v>280</v>
      </c>
      <c r="R311">
        <v>169</v>
      </c>
      <c r="S311" t="s">
        <v>148</v>
      </c>
      <c r="T311" t="s">
        <v>179</v>
      </c>
      <c r="U311" t="s">
        <v>278</v>
      </c>
    </row>
    <row r="312" spans="8:21" x14ac:dyDescent="0.25">
      <c r="H312">
        <v>289</v>
      </c>
      <c r="I312" t="s">
        <v>616</v>
      </c>
      <c r="J312" t="s">
        <v>258</v>
      </c>
      <c r="K312" t="s">
        <v>280</v>
      </c>
      <c r="R312">
        <v>169</v>
      </c>
      <c r="S312" t="s">
        <v>148</v>
      </c>
      <c r="T312" t="s">
        <v>179</v>
      </c>
      <c r="U312" t="s">
        <v>278</v>
      </c>
    </row>
    <row r="313" spans="8:21" x14ac:dyDescent="0.25">
      <c r="H313">
        <v>301</v>
      </c>
      <c r="I313" t="s">
        <v>470</v>
      </c>
      <c r="J313" t="s">
        <v>179</v>
      </c>
      <c r="K313" t="s">
        <v>280</v>
      </c>
      <c r="R313">
        <v>162</v>
      </c>
      <c r="S313" t="s">
        <v>518</v>
      </c>
      <c r="T313" t="s">
        <v>179</v>
      </c>
      <c r="U313" t="s">
        <v>278</v>
      </c>
    </row>
    <row r="314" spans="8:21" x14ac:dyDescent="0.25">
      <c r="H314">
        <v>305</v>
      </c>
      <c r="I314" t="s">
        <v>469</v>
      </c>
      <c r="J314" t="s">
        <v>179</v>
      </c>
      <c r="K314" t="s">
        <v>280</v>
      </c>
      <c r="R314">
        <v>162</v>
      </c>
      <c r="S314" t="s">
        <v>518</v>
      </c>
      <c r="T314" t="s">
        <v>179</v>
      </c>
      <c r="U314" t="s">
        <v>278</v>
      </c>
    </row>
    <row r="315" spans="8:21" x14ac:dyDescent="0.25">
      <c r="H315">
        <v>306</v>
      </c>
      <c r="I315" t="s">
        <v>609</v>
      </c>
      <c r="J315" t="s">
        <v>179</v>
      </c>
      <c r="K315" t="s">
        <v>280</v>
      </c>
      <c r="R315">
        <v>163</v>
      </c>
      <c r="S315" t="s">
        <v>410</v>
      </c>
      <c r="T315" t="s">
        <v>179</v>
      </c>
      <c r="U315" t="s">
        <v>278</v>
      </c>
    </row>
    <row r="316" spans="8:21" x14ac:dyDescent="0.25">
      <c r="H316">
        <v>242</v>
      </c>
      <c r="I316" t="s">
        <v>417</v>
      </c>
      <c r="J316" t="s">
        <v>179</v>
      </c>
      <c r="K316" t="s">
        <v>280</v>
      </c>
      <c r="R316">
        <v>163</v>
      </c>
      <c r="S316" t="s">
        <v>410</v>
      </c>
      <c r="T316" t="s">
        <v>179</v>
      </c>
      <c r="U316" t="s">
        <v>278</v>
      </c>
    </row>
    <row r="317" spans="8:21" x14ac:dyDescent="0.25">
      <c r="H317">
        <v>307</v>
      </c>
      <c r="I317" t="s">
        <v>607</v>
      </c>
      <c r="J317" t="s">
        <v>179</v>
      </c>
      <c r="K317" t="s">
        <v>280</v>
      </c>
      <c r="R317">
        <v>149</v>
      </c>
      <c r="S317" t="s">
        <v>382</v>
      </c>
      <c r="T317" t="s">
        <v>181</v>
      </c>
      <c r="U317" t="s">
        <v>278</v>
      </c>
    </row>
    <row r="318" spans="8:21" x14ac:dyDescent="0.25">
      <c r="H318">
        <v>302</v>
      </c>
      <c r="I318" t="s">
        <v>321</v>
      </c>
      <c r="J318" t="s">
        <v>179</v>
      </c>
      <c r="K318" t="s">
        <v>280</v>
      </c>
      <c r="R318">
        <v>149</v>
      </c>
      <c r="S318" t="s">
        <v>382</v>
      </c>
      <c r="T318" t="s">
        <v>181</v>
      </c>
      <c r="U318" t="s">
        <v>278</v>
      </c>
    </row>
    <row r="319" spans="8:21" x14ac:dyDescent="0.25">
      <c r="H319">
        <v>303</v>
      </c>
      <c r="I319" t="s">
        <v>314</v>
      </c>
      <c r="J319" t="s">
        <v>179</v>
      </c>
      <c r="K319" t="s">
        <v>280</v>
      </c>
      <c r="R319">
        <v>175</v>
      </c>
      <c r="S319" t="s">
        <v>622</v>
      </c>
      <c r="T319" t="s">
        <v>179</v>
      </c>
      <c r="U319" t="s">
        <v>278</v>
      </c>
    </row>
    <row r="320" spans="8:21" x14ac:dyDescent="0.25">
      <c r="H320">
        <v>419</v>
      </c>
      <c r="I320" t="s">
        <v>73</v>
      </c>
      <c r="J320" t="s">
        <v>179</v>
      </c>
      <c r="K320" t="s">
        <v>280</v>
      </c>
      <c r="R320">
        <v>175</v>
      </c>
      <c r="S320" t="s">
        <v>622</v>
      </c>
      <c r="T320" t="s">
        <v>179</v>
      </c>
      <c r="U320" t="s">
        <v>278</v>
      </c>
    </row>
    <row r="321" spans="8:21" x14ac:dyDescent="0.25">
      <c r="H321">
        <v>308</v>
      </c>
      <c r="I321" t="s">
        <v>606</v>
      </c>
      <c r="J321" t="s">
        <v>179</v>
      </c>
      <c r="K321" t="s">
        <v>280</v>
      </c>
      <c r="R321">
        <v>181</v>
      </c>
      <c r="S321" t="s">
        <v>556</v>
      </c>
      <c r="T321" t="s">
        <v>178</v>
      </c>
      <c r="U321" t="s">
        <v>278</v>
      </c>
    </row>
    <row r="322" spans="8:21" x14ac:dyDescent="0.25">
      <c r="H322">
        <v>304</v>
      </c>
      <c r="I322" t="s">
        <v>160</v>
      </c>
      <c r="J322" t="s">
        <v>179</v>
      </c>
      <c r="K322" t="s">
        <v>280</v>
      </c>
      <c r="R322">
        <v>181</v>
      </c>
      <c r="S322" t="s">
        <v>556</v>
      </c>
      <c r="T322" t="s">
        <v>178</v>
      </c>
      <c r="U322" t="s">
        <v>278</v>
      </c>
    </row>
    <row r="323" spans="8:21" x14ac:dyDescent="0.25">
      <c r="H323">
        <v>300</v>
      </c>
      <c r="I323" t="s">
        <v>296</v>
      </c>
      <c r="J323" t="s">
        <v>179</v>
      </c>
      <c r="K323" t="s">
        <v>280</v>
      </c>
      <c r="R323">
        <v>150</v>
      </c>
      <c r="S323" t="s">
        <v>123</v>
      </c>
      <c r="T323" t="s">
        <v>181</v>
      </c>
      <c r="U323" t="s">
        <v>278</v>
      </c>
    </row>
    <row r="324" spans="8:21" x14ac:dyDescent="0.25">
      <c r="H324">
        <v>309</v>
      </c>
      <c r="I324" t="s">
        <v>610</v>
      </c>
      <c r="J324" t="s">
        <v>179</v>
      </c>
      <c r="K324" t="s">
        <v>280</v>
      </c>
      <c r="R324">
        <v>150</v>
      </c>
      <c r="S324" t="s">
        <v>123</v>
      </c>
      <c r="T324" t="s">
        <v>181</v>
      </c>
      <c r="U324" t="s">
        <v>278</v>
      </c>
    </row>
    <row r="325" spans="8:21" x14ac:dyDescent="0.25">
      <c r="H325">
        <v>299</v>
      </c>
      <c r="I325" t="s">
        <v>287</v>
      </c>
      <c r="J325" t="s">
        <v>179</v>
      </c>
      <c r="K325" t="s">
        <v>280</v>
      </c>
      <c r="R325">
        <v>159</v>
      </c>
      <c r="S325" t="s">
        <v>94</v>
      </c>
      <c r="T325" t="s">
        <v>179</v>
      </c>
      <c r="U325" t="s">
        <v>278</v>
      </c>
    </row>
    <row r="326" spans="8:21" x14ac:dyDescent="0.25">
      <c r="H326">
        <v>323</v>
      </c>
      <c r="I326" t="s">
        <v>527</v>
      </c>
      <c r="J326" t="s">
        <v>181</v>
      </c>
      <c r="K326" t="s">
        <v>272</v>
      </c>
      <c r="R326">
        <v>159</v>
      </c>
      <c r="S326" t="s">
        <v>94</v>
      </c>
      <c r="T326" t="s">
        <v>179</v>
      </c>
      <c r="U326" t="s">
        <v>278</v>
      </c>
    </row>
    <row r="327" spans="8:21" x14ac:dyDescent="0.25">
      <c r="H327">
        <v>317</v>
      </c>
      <c r="I327" t="s">
        <v>76</v>
      </c>
      <c r="J327" t="s">
        <v>181</v>
      </c>
      <c r="K327" t="s">
        <v>272</v>
      </c>
      <c r="R327">
        <v>176</v>
      </c>
      <c r="S327" t="s">
        <v>411</v>
      </c>
      <c r="T327" t="s">
        <v>179</v>
      </c>
      <c r="U327" t="s">
        <v>278</v>
      </c>
    </row>
    <row r="328" spans="8:21" x14ac:dyDescent="0.25">
      <c r="H328">
        <v>318</v>
      </c>
      <c r="I328" t="s">
        <v>384</v>
      </c>
      <c r="J328" t="s">
        <v>181</v>
      </c>
      <c r="K328" t="s">
        <v>272</v>
      </c>
      <c r="R328">
        <v>176</v>
      </c>
      <c r="S328" t="s">
        <v>411</v>
      </c>
      <c r="T328" t="s">
        <v>179</v>
      </c>
      <c r="U328" t="s">
        <v>278</v>
      </c>
    </row>
    <row r="329" spans="8:21" x14ac:dyDescent="0.25">
      <c r="H329">
        <v>319</v>
      </c>
      <c r="I329" t="s">
        <v>428</v>
      </c>
      <c r="J329" t="s">
        <v>181</v>
      </c>
      <c r="K329" t="s">
        <v>272</v>
      </c>
      <c r="R329">
        <v>140</v>
      </c>
      <c r="S329" t="s">
        <v>621</v>
      </c>
      <c r="T329" t="s">
        <v>258</v>
      </c>
      <c r="U329" t="s">
        <v>278</v>
      </c>
    </row>
    <row r="330" spans="8:21" x14ac:dyDescent="0.25">
      <c r="H330">
        <v>320</v>
      </c>
      <c r="I330" t="s">
        <v>139</v>
      </c>
      <c r="J330" t="s">
        <v>181</v>
      </c>
      <c r="K330" t="s">
        <v>272</v>
      </c>
      <c r="R330">
        <v>140</v>
      </c>
      <c r="S330" t="s">
        <v>621</v>
      </c>
      <c r="T330" t="s">
        <v>258</v>
      </c>
      <c r="U330" t="s">
        <v>278</v>
      </c>
    </row>
    <row r="331" spans="8:21" x14ac:dyDescent="0.25">
      <c r="H331">
        <v>321</v>
      </c>
      <c r="I331" t="s">
        <v>496</v>
      </c>
      <c r="J331" t="s">
        <v>181</v>
      </c>
      <c r="K331" t="s">
        <v>272</v>
      </c>
      <c r="R331">
        <v>170</v>
      </c>
      <c r="S331" t="s">
        <v>135</v>
      </c>
      <c r="T331" t="s">
        <v>179</v>
      </c>
      <c r="U331" t="s">
        <v>278</v>
      </c>
    </row>
    <row r="332" spans="8:21" x14ac:dyDescent="0.25">
      <c r="H332">
        <v>316</v>
      </c>
      <c r="I332" t="s">
        <v>101</v>
      </c>
      <c r="J332" t="s">
        <v>181</v>
      </c>
      <c r="K332" t="s">
        <v>272</v>
      </c>
      <c r="R332">
        <v>170</v>
      </c>
      <c r="S332" t="s">
        <v>135</v>
      </c>
      <c r="T332" t="s">
        <v>179</v>
      </c>
      <c r="U332" t="s">
        <v>278</v>
      </c>
    </row>
    <row r="333" spans="8:21" x14ac:dyDescent="0.25">
      <c r="H333">
        <v>322</v>
      </c>
      <c r="I333" t="s">
        <v>106</v>
      </c>
      <c r="J333" t="s">
        <v>181</v>
      </c>
      <c r="K333" t="s">
        <v>272</v>
      </c>
      <c r="R333">
        <v>160</v>
      </c>
      <c r="S333" t="s">
        <v>412</v>
      </c>
      <c r="T333" t="s">
        <v>179</v>
      </c>
      <c r="U333" t="s">
        <v>278</v>
      </c>
    </row>
    <row r="334" spans="8:21" x14ac:dyDescent="0.25">
      <c r="H334">
        <v>338</v>
      </c>
      <c r="I334" t="s">
        <v>132</v>
      </c>
      <c r="J334" t="s">
        <v>178</v>
      </c>
      <c r="K334" t="s">
        <v>272</v>
      </c>
      <c r="R334">
        <v>160</v>
      </c>
      <c r="S334" t="s">
        <v>412</v>
      </c>
      <c r="T334" t="s">
        <v>179</v>
      </c>
      <c r="U334" t="s">
        <v>278</v>
      </c>
    </row>
    <row r="335" spans="8:21" x14ac:dyDescent="0.25">
      <c r="H335">
        <v>337</v>
      </c>
      <c r="I335" t="s">
        <v>429</v>
      </c>
      <c r="J335" t="s">
        <v>178</v>
      </c>
      <c r="K335" t="s">
        <v>272</v>
      </c>
      <c r="R335">
        <v>157</v>
      </c>
      <c r="S335" t="s">
        <v>164</v>
      </c>
      <c r="T335" t="s">
        <v>179</v>
      </c>
      <c r="U335" t="s">
        <v>278</v>
      </c>
    </row>
    <row r="336" spans="8:21" x14ac:dyDescent="0.25">
      <c r="H336">
        <v>315</v>
      </c>
      <c r="I336" t="s">
        <v>430</v>
      </c>
      <c r="J336" t="s">
        <v>258</v>
      </c>
      <c r="K336" t="s">
        <v>272</v>
      </c>
      <c r="R336">
        <v>157</v>
      </c>
      <c r="S336" t="s">
        <v>164</v>
      </c>
      <c r="T336" t="s">
        <v>179</v>
      </c>
      <c r="U336" t="s">
        <v>278</v>
      </c>
    </row>
    <row r="337" spans="8:21" x14ac:dyDescent="0.25">
      <c r="H337">
        <v>664</v>
      </c>
      <c r="I337" t="s">
        <v>660</v>
      </c>
      <c r="J337" t="s">
        <v>258</v>
      </c>
      <c r="K337" t="s">
        <v>272</v>
      </c>
      <c r="R337">
        <v>177</v>
      </c>
      <c r="S337" t="s">
        <v>623</v>
      </c>
      <c r="T337" t="s">
        <v>179</v>
      </c>
      <c r="U337" t="s">
        <v>278</v>
      </c>
    </row>
    <row r="338" spans="8:21" x14ac:dyDescent="0.25">
      <c r="H338">
        <v>314</v>
      </c>
      <c r="I338" t="s">
        <v>162</v>
      </c>
      <c r="J338" t="s">
        <v>258</v>
      </c>
      <c r="K338" t="s">
        <v>272</v>
      </c>
      <c r="R338">
        <v>177</v>
      </c>
      <c r="S338" t="s">
        <v>623</v>
      </c>
      <c r="T338" t="s">
        <v>179</v>
      </c>
      <c r="U338" t="s">
        <v>278</v>
      </c>
    </row>
    <row r="339" spans="8:21" x14ac:dyDescent="0.25">
      <c r="H339">
        <v>326</v>
      </c>
      <c r="I339" t="s">
        <v>431</v>
      </c>
      <c r="J339" t="s">
        <v>179</v>
      </c>
      <c r="K339" t="s">
        <v>272</v>
      </c>
      <c r="R339">
        <v>164</v>
      </c>
      <c r="S339" t="s">
        <v>645</v>
      </c>
      <c r="T339" t="s">
        <v>179</v>
      </c>
      <c r="U339" t="s">
        <v>278</v>
      </c>
    </row>
    <row r="340" spans="8:21" x14ac:dyDescent="0.25">
      <c r="H340">
        <v>327</v>
      </c>
      <c r="I340" t="s">
        <v>68</v>
      </c>
      <c r="J340" t="s">
        <v>179</v>
      </c>
      <c r="K340" t="s">
        <v>272</v>
      </c>
      <c r="R340">
        <v>164</v>
      </c>
      <c r="S340" t="s">
        <v>645</v>
      </c>
      <c r="T340" t="s">
        <v>179</v>
      </c>
      <c r="U340" t="s">
        <v>278</v>
      </c>
    </row>
    <row r="341" spans="8:21" x14ac:dyDescent="0.25">
      <c r="H341">
        <v>330</v>
      </c>
      <c r="I341" t="s">
        <v>571</v>
      </c>
      <c r="J341" t="s">
        <v>179</v>
      </c>
      <c r="K341" t="s">
        <v>272</v>
      </c>
      <c r="R341">
        <v>141</v>
      </c>
      <c r="S341" t="s">
        <v>586</v>
      </c>
      <c r="T341" t="s">
        <v>258</v>
      </c>
      <c r="U341" t="s">
        <v>278</v>
      </c>
    </row>
    <row r="342" spans="8:21" x14ac:dyDescent="0.25">
      <c r="H342">
        <v>331</v>
      </c>
      <c r="I342" t="s">
        <v>81</v>
      </c>
      <c r="J342" t="s">
        <v>179</v>
      </c>
      <c r="K342" t="s">
        <v>272</v>
      </c>
      <c r="R342">
        <v>141</v>
      </c>
      <c r="S342" t="s">
        <v>586</v>
      </c>
      <c r="T342" t="s">
        <v>258</v>
      </c>
      <c r="U342" t="s">
        <v>278</v>
      </c>
    </row>
    <row r="343" spans="8:21" x14ac:dyDescent="0.25">
      <c r="H343">
        <v>333</v>
      </c>
      <c r="I343" t="s">
        <v>661</v>
      </c>
      <c r="J343" t="s">
        <v>179</v>
      </c>
      <c r="K343" t="s">
        <v>272</v>
      </c>
      <c r="R343">
        <v>171</v>
      </c>
      <c r="S343" t="s">
        <v>166</v>
      </c>
      <c r="T343" t="s">
        <v>179</v>
      </c>
      <c r="U343" t="s">
        <v>278</v>
      </c>
    </row>
    <row r="344" spans="8:21" x14ac:dyDescent="0.25">
      <c r="H344">
        <v>334</v>
      </c>
      <c r="I344" t="s">
        <v>432</v>
      </c>
      <c r="J344" t="s">
        <v>179</v>
      </c>
      <c r="K344" t="s">
        <v>272</v>
      </c>
      <c r="R344">
        <v>171</v>
      </c>
      <c r="S344" t="s">
        <v>166</v>
      </c>
      <c r="T344" t="s">
        <v>179</v>
      </c>
      <c r="U344" t="s">
        <v>278</v>
      </c>
    </row>
    <row r="345" spans="8:21" x14ac:dyDescent="0.25">
      <c r="H345">
        <v>324</v>
      </c>
      <c r="I345" t="s">
        <v>82</v>
      </c>
      <c r="J345" t="s">
        <v>179</v>
      </c>
      <c r="K345" t="s">
        <v>272</v>
      </c>
      <c r="R345">
        <v>142</v>
      </c>
      <c r="S345" t="s">
        <v>569</v>
      </c>
      <c r="T345" t="s">
        <v>258</v>
      </c>
      <c r="U345" t="s">
        <v>278</v>
      </c>
    </row>
    <row r="346" spans="8:21" x14ac:dyDescent="0.25">
      <c r="H346">
        <v>335</v>
      </c>
      <c r="I346" t="s">
        <v>344</v>
      </c>
      <c r="J346" t="s">
        <v>179</v>
      </c>
      <c r="K346" t="s">
        <v>272</v>
      </c>
      <c r="R346">
        <v>142</v>
      </c>
      <c r="S346" t="s">
        <v>569</v>
      </c>
      <c r="T346" t="s">
        <v>258</v>
      </c>
      <c r="U346" t="s">
        <v>278</v>
      </c>
    </row>
    <row r="347" spans="8:21" x14ac:dyDescent="0.25">
      <c r="H347">
        <v>332</v>
      </c>
      <c r="I347" t="s">
        <v>332</v>
      </c>
      <c r="J347" t="s">
        <v>179</v>
      </c>
      <c r="K347" t="s">
        <v>272</v>
      </c>
      <c r="R347">
        <v>165</v>
      </c>
      <c r="S347" t="s">
        <v>644</v>
      </c>
      <c r="T347" t="s">
        <v>179</v>
      </c>
      <c r="U347" t="s">
        <v>278</v>
      </c>
    </row>
    <row r="348" spans="8:21" x14ac:dyDescent="0.25">
      <c r="H348">
        <v>336</v>
      </c>
      <c r="I348" t="s">
        <v>134</v>
      </c>
      <c r="J348" t="s">
        <v>179</v>
      </c>
      <c r="K348" t="s">
        <v>272</v>
      </c>
      <c r="R348">
        <v>165</v>
      </c>
      <c r="S348" t="s">
        <v>644</v>
      </c>
      <c r="T348" t="s">
        <v>179</v>
      </c>
      <c r="U348" t="s">
        <v>278</v>
      </c>
    </row>
    <row r="349" spans="8:21" x14ac:dyDescent="0.25">
      <c r="H349">
        <v>328</v>
      </c>
      <c r="I349" t="s">
        <v>365</v>
      </c>
      <c r="J349" t="s">
        <v>179</v>
      </c>
      <c r="K349" t="s">
        <v>272</v>
      </c>
      <c r="R349">
        <v>155</v>
      </c>
      <c r="S349" t="s">
        <v>617</v>
      </c>
      <c r="T349" t="s">
        <v>181</v>
      </c>
      <c r="U349" t="s">
        <v>278</v>
      </c>
    </row>
    <row r="350" spans="8:21" x14ac:dyDescent="0.25">
      <c r="H350">
        <v>325</v>
      </c>
      <c r="I350" t="s">
        <v>124</v>
      </c>
      <c r="J350" t="s">
        <v>179</v>
      </c>
      <c r="K350" t="s">
        <v>272</v>
      </c>
      <c r="R350">
        <v>155</v>
      </c>
      <c r="S350" t="s">
        <v>617</v>
      </c>
      <c r="T350" t="s">
        <v>181</v>
      </c>
      <c r="U350" t="s">
        <v>278</v>
      </c>
    </row>
    <row r="351" spans="8:21" x14ac:dyDescent="0.25">
      <c r="H351">
        <v>329</v>
      </c>
      <c r="I351" t="s">
        <v>19</v>
      </c>
      <c r="J351" t="s">
        <v>179</v>
      </c>
      <c r="K351" t="s">
        <v>272</v>
      </c>
      <c r="R351">
        <v>138</v>
      </c>
      <c r="S351" t="s">
        <v>163</v>
      </c>
      <c r="T351" t="s">
        <v>258</v>
      </c>
      <c r="U351" t="s">
        <v>278</v>
      </c>
    </row>
    <row r="352" spans="8:21" x14ac:dyDescent="0.25">
      <c r="H352">
        <v>344</v>
      </c>
      <c r="I352" t="s">
        <v>662</v>
      </c>
      <c r="J352" t="s">
        <v>181</v>
      </c>
      <c r="K352" t="s">
        <v>663</v>
      </c>
      <c r="R352">
        <v>138</v>
      </c>
      <c r="S352" t="s">
        <v>163</v>
      </c>
      <c r="T352" t="s">
        <v>258</v>
      </c>
      <c r="U352" t="s">
        <v>278</v>
      </c>
    </row>
    <row r="353" spans="8:21" x14ac:dyDescent="0.25">
      <c r="H353">
        <v>342</v>
      </c>
      <c r="I353" t="s">
        <v>664</v>
      </c>
      <c r="J353" t="s">
        <v>181</v>
      </c>
      <c r="K353" t="s">
        <v>663</v>
      </c>
      <c r="R353">
        <v>156</v>
      </c>
      <c r="S353" t="s">
        <v>619</v>
      </c>
      <c r="T353" t="s">
        <v>181</v>
      </c>
      <c r="U353" t="s">
        <v>278</v>
      </c>
    </row>
    <row r="354" spans="8:21" x14ac:dyDescent="0.25">
      <c r="H354">
        <v>345</v>
      </c>
      <c r="I354" t="s">
        <v>665</v>
      </c>
      <c r="J354" t="s">
        <v>181</v>
      </c>
      <c r="K354" t="s">
        <v>663</v>
      </c>
      <c r="R354">
        <v>156</v>
      </c>
      <c r="S354" t="s">
        <v>619</v>
      </c>
      <c r="T354" t="s">
        <v>181</v>
      </c>
      <c r="U354" t="s">
        <v>278</v>
      </c>
    </row>
    <row r="355" spans="8:21" x14ac:dyDescent="0.25">
      <c r="H355">
        <v>346</v>
      </c>
      <c r="I355" t="s">
        <v>666</v>
      </c>
      <c r="J355" t="s">
        <v>181</v>
      </c>
      <c r="K355" t="s">
        <v>663</v>
      </c>
      <c r="R355">
        <v>180</v>
      </c>
      <c r="S355" t="s">
        <v>557</v>
      </c>
      <c r="T355" t="s">
        <v>178</v>
      </c>
      <c r="U355" t="s">
        <v>278</v>
      </c>
    </row>
    <row r="356" spans="8:21" x14ac:dyDescent="0.25">
      <c r="H356">
        <v>347</v>
      </c>
      <c r="I356" t="s">
        <v>667</v>
      </c>
      <c r="J356" t="s">
        <v>181</v>
      </c>
      <c r="K356" t="s">
        <v>663</v>
      </c>
      <c r="R356">
        <v>180</v>
      </c>
      <c r="S356" t="s">
        <v>557</v>
      </c>
      <c r="T356" t="s">
        <v>178</v>
      </c>
      <c r="U356" t="s">
        <v>278</v>
      </c>
    </row>
    <row r="357" spans="8:21" x14ac:dyDescent="0.25">
      <c r="H357">
        <v>348</v>
      </c>
      <c r="I357" t="s">
        <v>668</v>
      </c>
      <c r="J357" t="s">
        <v>181</v>
      </c>
      <c r="K357" t="s">
        <v>663</v>
      </c>
      <c r="R357">
        <v>151</v>
      </c>
      <c r="S357" t="s">
        <v>291</v>
      </c>
      <c r="T357" t="s">
        <v>181</v>
      </c>
      <c r="U357" t="s">
        <v>278</v>
      </c>
    </row>
    <row r="358" spans="8:21" x14ac:dyDescent="0.25">
      <c r="H358">
        <v>349</v>
      </c>
      <c r="I358" t="s">
        <v>669</v>
      </c>
      <c r="J358" t="s">
        <v>181</v>
      </c>
      <c r="K358" t="s">
        <v>663</v>
      </c>
      <c r="R358">
        <v>151</v>
      </c>
      <c r="S358" t="s">
        <v>291</v>
      </c>
      <c r="T358" t="s">
        <v>181</v>
      </c>
      <c r="U358" t="s">
        <v>278</v>
      </c>
    </row>
    <row r="359" spans="8:21" x14ac:dyDescent="0.25">
      <c r="H359">
        <v>343</v>
      </c>
      <c r="I359" t="s">
        <v>670</v>
      </c>
      <c r="J359" t="s">
        <v>181</v>
      </c>
      <c r="K359" t="s">
        <v>663</v>
      </c>
      <c r="R359">
        <v>152</v>
      </c>
      <c r="S359" t="s">
        <v>67</v>
      </c>
      <c r="T359" t="s">
        <v>181</v>
      </c>
      <c r="U359" t="s">
        <v>278</v>
      </c>
    </row>
    <row r="360" spans="8:21" x14ac:dyDescent="0.25">
      <c r="H360">
        <v>363</v>
      </c>
      <c r="I360" t="s">
        <v>671</v>
      </c>
      <c r="J360" t="s">
        <v>178</v>
      </c>
      <c r="K360" t="s">
        <v>663</v>
      </c>
      <c r="R360">
        <v>152</v>
      </c>
      <c r="S360" t="s">
        <v>67</v>
      </c>
      <c r="T360" t="s">
        <v>181</v>
      </c>
      <c r="U360" t="s">
        <v>278</v>
      </c>
    </row>
    <row r="361" spans="8:21" x14ac:dyDescent="0.25">
      <c r="H361">
        <v>364</v>
      </c>
      <c r="I361" t="s">
        <v>672</v>
      </c>
      <c r="J361" t="s">
        <v>178</v>
      </c>
      <c r="K361" t="s">
        <v>663</v>
      </c>
      <c r="R361">
        <v>139</v>
      </c>
      <c r="S361" t="s">
        <v>289</v>
      </c>
      <c r="T361" t="s">
        <v>258</v>
      </c>
      <c r="U361" t="s">
        <v>278</v>
      </c>
    </row>
    <row r="362" spans="8:21" x14ac:dyDescent="0.25">
      <c r="H362">
        <v>365</v>
      </c>
      <c r="I362" t="s">
        <v>673</v>
      </c>
      <c r="J362" t="s">
        <v>178</v>
      </c>
      <c r="K362" t="s">
        <v>663</v>
      </c>
      <c r="R362">
        <v>139</v>
      </c>
      <c r="S362" t="s">
        <v>289</v>
      </c>
      <c r="T362" t="s">
        <v>258</v>
      </c>
      <c r="U362" t="s">
        <v>278</v>
      </c>
    </row>
    <row r="363" spans="8:21" x14ac:dyDescent="0.25">
      <c r="H363">
        <v>362</v>
      </c>
      <c r="I363" t="s">
        <v>674</v>
      </c>
      <c r="J363" t="s">
        <v>178</v>
      </c>
      <c r="K363" t="s">
        <v>663</v>
      </c>
      <c r="R363">
        <v>172</v>
      </c>
      <c r="S363" t="s">
        <v>521</v>
      </c>
      <c r="T363" t="s">
        <v>179</v>
      </c>
      <c r="U363" t="s">
        <v>278</v>
      </c>
    </row>
    <row r="364" spans="8:21" x14ac:dyDescent="0.25">
      <c r="H364">
        <v>340</v>
      </c>
      <c r="I364" t="s">
        <v>675</v>
      </c>
      <c r="J364" t="s">
        <v>258</v>
      </c>
      <c r="K364" t="s">
        <v>663</v>
      </c>
      <c r="R364">
        <v>172</v>
      </c>
      <c r="S364" t="s">
        <v>521</v>
      </c>
      <c r="T364" t="s">
        <v>179</v>
      </c>
      <c r="U364" t="s">
        <v>278</v>
      </c>
    </row>
    <row r="365" spans="8:21" x14ac:dyDescent="0.25">
      <c r="H365">
        <v>341</v>
      </c>
      <c r="I365" t="s">
        <v>676</v>
      </c>
      <c r="J365" t="s">
        <v>258</v>
      </c>
      <c r="K365" t="s">
        <v>663</v>
      </c>
      <c r="R365">
        <v>153</v>
      </c>
      <c r="S365" t="s">
        <v>96</v>
      </c>
      <c r="T365" t="s">
        <v>181</v>
      </c>
      <c r="U365" t="s">
        <v>278</v>
      </c>
    </row>
    <row r="366" spans="8:21" x14ac:dyDescent="0.25">
      <c r="H366">
        <v>339</v>
      </c>
      <c r="I366" t="s">
        <v>677</v>
      </c>
      <c r="J366" t="s">
        <v>258</v>
      </c>
      <c r="K366" t="s">
        <v>663</v>
      </c>
      <c r="R366">
        <v>153</v>
      </c>
      <c r="S366" t="s">
        <v>96</v>
      </c>
      <c r="T366" t="s">
        <v>181</v>
      </c>
      <c r="U366" t="s">
        <v>278</v>
      </c>
    </row>
    <row r="367" spans="8:21" x14ac:dyDescent="0.25">
      <c r="H367">
        <v>665</v>
      </c>
      <c r="I367" t="s">
        <v>678</v>
      </c>
      <c r="J367" t="s">
        <v>258</v>
      </c>
      <c r="K367" t="s">
        <v>663</v>
      </c>
      <c r="R367">
        <v>178</v>
      </c>
      <c r="S367" t="s">
        <v>27</v>
      </c>
      <c r="T367" t="s">
        <v>178</v>
      </c>
      <c r="U367" t="s">
        <v>278</v>
      </c>
    </row>
    <row r="368" spans="8:21" x14ac:dyDescent="0.25">
      <c r="H368">
        <v>350</v>
      </c>
      <c r="I368" t="s">
        <v>679</v>
      </c>
      <c r="J368" t="s">
        <v>179</v>
      </c>
      <c r="K368" t="s">
        <v>663</v>
      </c>
      <c r="R368">
        <v>178</v>
      </c>
      <c r="S368" t="s">
        <v>27</v>
      </c>
      <c r="T368" t="s">
        <v>178</v>
      </c>
      <c r="U368" t="s">
        <v>278</v>
      </c>
    </row>
    <row r="369" spans="8:21" x14ac:dyDescent="0.25">
      <c r="H369">
        <v>354</v>
      </c>
      <c r="I369" t="s">
        <v>680</v>
      </c>
      <c r="J369" t="s">
        <v>179</v>
      </c>
      <c r="K369" t="s">
        <v>663</v>
      </c>
      <c r="R369">
        <v>173</v>
      </c>
      <c r="S369" t="s">
        <v>413</v>
      </c>
      <c r="T369" t="s">
        <v>179</v>
      </c>
      <c r="U369" t="s">
        <v>278</v>
      </c>
    </row>
    <row r="370" spans="8:21" x14ac:dyDescent="0.25">
      <c r="H370">
        <v>359</v>
      </c>
      <c r="I370" t="s">
        <v>681</v>
      </c>
      <c r="J370" t="s">
        <v>179</v>
      </c>
      <c r="K370" t="s">
        <v>663</v>
      </c>
      <c r="R370">
        <v>173</v>
      </c>
      <c r="S370" t="s">
        <v>413</v>
      </c>
      <c r="T370" t="s">
        <v>179</v>
      </c>
      <c r="U370" t="s">
        <v>278</v>
      </c>
    </row>
    <row r="371" spans="8:21" x14ac:dyDescent="0.25">
      <c r="H371">
        <v>360</v>
      </c>
      <c r="I371" t="s">
        <v>682</v>
      </c>
      <c r="J371" t="s">
        <v>179</v>
      </c>
      <c r="K371" t="s">
        <v>663</v>
      </c>
      <c r="R371">
        <v>174</v>
      </c>
      <c r="S371" t="s">
        <v>549</v>
      </c>
      <c r="T371" t="s">
        <v>179</v>
      </c>
      <c r="U371" t="s">
        <v>278</v>
      </c>
    </row>
    <row r="372" spans="8:21" x14ac:dyDescent="0.25">
      <c r="H372">
        <v>351</v>
      </c>
      <c r="I372" t="s">
        <v>683</v>
      </c>
      <c r="J372" t="s">
        <v>179</v>
      </c>
      <c r="K372" t="s">
        <v>663</v>
      </c>
      <c r="R372">
        <v>174</v>
      </c>
      <c r="S372" t="s">
        <v>549</v>
      </c>
      <c r="T372" t="s">
        <v>179</v>
      </c>
      <c r="U372" t="s">
        <v>278</v>
      </c>
    </row>
    <row r="373" spans="8:21" x14ac:dyDescent="0.25">
      <c r="H373">
        <v>355</v>
      </c>
      <c r="I373" t="s">
        <v>684</v>
      </c>
      <c r="J373" t="s">
        <v>179</v>
      </c>
      <c r="K373" t="s">
        <v>663</v>
      </c>
      <c r="R373">
        <v>211</v>
      </c>
      <c r="S373" t="s">
        <v>514</v>
      </c>
      <c r="T373" t="s">
        <v>179</v>
      </c>
      <c r="U373" t="s">
        <v>654</v>
      </c>
    </row>
    <row r="374" spans="8:21" x14ac:dyDescent="0.25">
      <c r="H374">
        <v>356</v>
      </c>
      <c r="I374" t="s">
        <v>685</v>
      </c>
      <c r="J374" t="s">
        <v>179</v>
      </c>
      <c r="K374" t="s">
        <v>663</v>
      </c>
      <c r="R374">
        <v>211</v>
      </c>
      <c r="S374" t="s">
        <v>514</v>
      </c>
      <c r="T374" t="s">
        <v>179</v>
      </c>
      <c r="U374" t="s">
        <v>654</v>
      </c>
    </row>
    <row r="375" spans="8:21" x14ac:dyDescent="0.25">
      <c r="H375">
        <v>361</v>
      </c>
      <c r="I375" t="s">
        <v>686</v>
      </c>
      <c r="J375" t="s">
        <v>179</v>
      </c>
      <c r="K375" t="s">
        <v>663</v>
      </c>
      <c r="R375">
        <v>212</v>
      </c>
      <c r="S375" t="s">
        <v>584</v>
      </c>
      <c r="T375" t="s">
        <v>179</v>
      </c>
      <c r="U375" t="s">
        <v>654</v>
      </c>
    </row>
    <row r="376" spans="8:21" x14ac:dyDescent="0.25">
      <c r="H376">
        <v>352</v>
      </c>
      <c r="I376" t="s">
        <v>427</v>
      </c>
      <c r="J376" t="s">
        <v>179</v>
      </c>
      <c r="K376" t="s">
        <v>663</v>
      </c>
      <c r="R376">
        <v>212</v>
      </c>
      <c r="S376" t="s">
        <v>584</v>
      </c>
      <c r="T376" t="s">
        <v>179</v>
      </c>
      <c r="U376" t="s">
        <v>654</v>
      </c>
    </row>
    <row r="377" spans="8:21" x14ac:dyDescent="0.25">
      <c r="H377">
        <v>353</v>
      </c>
      <c r="I377" t="s">
        <v>4</v>
      </c>
      <c r="J377" t="s">
        <v>179</v>
      </c>
      <c r="K377" t="s">
        <v>663</v>
      </c>
      <c r="R377">
        <v>216</v>
      </c>
      <c r="S377" t="s">
        <v>532</v>
      </c>
      <c r="T377" t="s">
        <v>178</v>
      </c>
      <c r="U377" t="s">
        <v>654</v>
      </c>
    </row>
    <row r="378" spans="8:21" x14ac:dyDescent="0.25">
      <c r="H378">
        <v>493</v>
      </c>
      <c r="I378" t="s">
        <v>361</v>
      </c>
      <c r="J378" t="s">
        <v>179</v>
      </c>
      <c r="K378" t="s">
        <v>663</v>
      </c>
      <c r="R378">
        <v>216</v>
      </c>
      <c r="S378" t="s">
        <v>532</v>
      </c>
      <c r="T378" t="s">
        <v>178</v>
      </c>
      <c r="U378" t="s">
        <v>654</v>
      </c>
    </row>
    <row r="379" spans="8:21" x14ac:dyDescent="0.25">
      <c r="H379">
        <v>357</v>
      </c>
      <c r="I379" t="s">
        <v>687</v>
      </c>
      <c r="J379" t="s">
        <v>179</v>
      </c>
      <c r="K379" t="s">
        <v>663</v>
      </c>
      <c r="R379">
        <v>200</v>
      </c>
      <c r="S379" t="s">
        <v>65</v>
      </c>
      <c r="T379" t="s">
        <v>179</v>
      </c>
      <c r="U379" t="s">
        <v>654</v>
      </c>
    </row>
    <row r="380" spans="8:21" x14ac:dyDescent="0.25">
      <c r="H380">
        <v>660</v>
      </c>
      <c r="I380" t="s">
        <v>688</v>
      </c>
      <c r="J380" t="s">
        <v>179</v>
      </c>
      <c r="K380" t="s">
        <v>663</v>
      </c>
      <c r="R380">
        <v>200</v>
      </c>
      <c r="S380" t="s">
        <v>65</v>
      </c>
      <c r="T380" t="s">
        <v>179</v>
      </c>
      <c r="U380" t="s">
        <v>654</v>
      </c>
    </row>
    <row r="381" spans="8:21" x14ac:dyDescent="0.25">
      <c r="H381">
        <v>358</v>
      </c>
      <c r="I381" t="s">
        <v>689</v>
      </c>
      <c r="J381" t="s">
        <v>179</v>
      </c>
      <c r="K381" t="s">
        <v>663</v>
      </c>
      <c r="R381">
        <v>213</v>
      </c>
      <c r="S381" t="s">
        <v>639</v>
      </c>
      <c r="T381" t="s">
        <v>179</v>
      </c>
      <c r="U381" t="s">
        <v>654</v>
      </c>
    </row>
    <row r="382" spans="8:21" x14ac:dyDescent="0.25">
      <c r="H382">
        <v>375</v>
      </c>
      <c r="I382" t="s">
        <v>437</v>
      </c>
      <c r="J382" t="s">
        <v>181</v>
      </c>
      <c r="K382" t="s">
        <v>264</v>
      </c>
      <c r="R382">
        <v>213</v>
      </c>
      <c r="S382" t="s">
        <v>639</v>
      </c>
      <c r="T382" t="s">
        <v>179</v>
      </c>
      <c r="U382" t="s">
        <v>654</v>
      </c>
    </row>
    <row r="383" spans="8:21" x14ac:dyDescent="0.25">
      <c r="H383">
        <v>370</v>
      </c>
      <c r="I383" t="s">
        <v>690</v>
      </c>
      <c r="J383" t="s">
        <v>181</v>
      </c>
      <c r="K383" t="s">
        <v>264</v>
      </c>
      <c r="R383">
        <v>218</v>
      </c>
      <c r="S383" t="s">
        <v>380</v>
      </c>
      <c r="T383" t="s">
        <v>178</v>
      </c>
      <c r="U383" t="s">
        <v>654</v>
      </c>
    </row>
    <row r="384" spans="8:21" x14ac:dyDescent="0.25">
      <c r="H384">
        <v>376</v>
      </c>
      <c r="I384" t="s">
        <v>148</v>
      </c>
      <c r="J384" t="s">
        <v>181</v>
      </c>
      <c r="K384" t="s">
        <v>264</v>
      </c>
      <c r="R384">
        <v>218</v>
      </c>
      <c r="S384" t="s">
        <v>380</v>
      </c>
      <c r="T384" t="s">
        <v>178</v>
      </c>
      <c r="U384" t="s">
        <v>654</v>
      </c>
    </row>
    <row r="385" spans="8:21" x14ac:dyDescent="0.25">
      <c r="H385">
        <v>371</v>
      </c>
      <c r="I385" t="s">
        <v>358</v>
      </c>
      <c r="J385" t="s">
        <v>181</v>
      </c>
      <c r="K385" t="s">
        <v>264</v>
      </c>
      <c r="R385">
        <v>201</v>
      </c>
      <c r="S385" t="s">
        <v>517</v>
      </c>
      <c r="T385" t="s">
        <v>179</v>
      </c>
      <c r="U385" t="s">
        <v>654</v>
      </c>
    </row>
    <row r="386" spans="8:21" x14ac:dyDescent="0.25">
      <c r="H386">
        <v>374</v>
      </c>
      <c r="I386" t="s">
        <v>127</v>
      </c>
      <c r="J386" t="s">
        <v>181</v>
      </c>
      <c r="K386" t="s">
        <v>264</v>
      </c>
      <c r="R386">
        <v>201</v>
      </c>
      <c r="S386" t="s">
        <v>517</v>
      </c>
      <c r="T386" t="s">
        <v>179</v>
      </c>
      <c r="U386" t="s">
        <v>654</v>
      </c>
    </row>
    <row r="387" spans="8:21" x14ac:dyDescent="0.25">
      <c r="H387">
        <v>378</v>
      </c>
      <c r="I387" t="s">
        <v>691</v>
      </c>
      <c r="J387" t="s">
        <v>181</v>
      </c>
      <c r="K387" t="s">
        <v>264</v>
      </c>
      <c r="R387">
        <v>203</v>
      </c>
      <c r="S387" t="s">
        <v>536</v>
      </c>
      <c r="T387" t="s">
        <v>179</v>
      </c>
      <c r="U387" t="s">
        <v>654</v>
      </c>
    </row>
    <row r="388" spans="8:21" x14ac:dyDescent="0.25">
      <c r="H388">
        <v>379</v>
      </c>
      <c r="I388" t="s">
        <v>438</v>
      </c>
      <c r="J388" t="s">
        <v>181</v>
      </c>
      <c r="K388" t="s">
        <v>264</v>
      </c>
      <c r="R388">
        <v>203</v>
      </c>
      <c r="S388" t="s">
        <v>536</v>
      </c>
      <c r="T388" t="s">
        <v>179</v>
      </c>
      <c r="U388" t="s">
        <v>654</v>
      </c>
    </row>
    <row r="389" spans="8:21" x14ac:dyDescent="0.25">
      <c r="H389">
        <v>380</v>
      </c>
      <c r="I389" t="s">
        <v>692</v>
      </c>
      <c r="J389" t="s">
        <v>181</v>
      </c>
      <c r="K389" t="s">
        <v>264</v>
      </c>
      <c r="R389">
        <v>680</v>
      </c>
      <c r="S389" t="s">
        <v>832</v>
      </c>
      <c r="T389" t="s">
        <v>178</v>
      </c>
      <c r="U389" t="s">
        <v>654</v>
      </c>
    </row>
    <row r="390" spans="8:21" x14ac:dyDescent="0.25">
      <c r="H390">
        <v>372</v>
      </c>
      <c r="I390" t="s">
        <v>7</v>
      </c>
      <c r="J390" t="s">
        <v>181</v>
      </c>
      <c r="K390" t="s">
        <v>264</v>
      </c>
      <c r="R390">
        <v>680</v>
      </c>
      <c r="S390" t="s">
        <v>832</v>
      </c>
      <c r="T390" t="s">
        <v>178</v>
      </c>
      <c r="U390" t="s">
        <v>654</v>
      </c>
    </row>
    <row r="391" spans="8:21" x14ac:dyDescent="0.25">
      <c r="H391">
        <v>377</v>
      </c>
      <c r="I391" t="s">
        <v>147</v>
      </c>
      <c r="J391" t="s">
        <v>181</v>
      </c>
      <c r="K391" t="s">
        <v>264</v>
      </c>
      <c r="R391">
        <v>202</v>
      </c>
      <c r="S391" t="s">
        <v>582</v>
      </c>
      <c r="T391" t="s">
        <v>179</v>
      </c>
      <c r="U391" t="s">
        <v>654</v>
      </c>
    </row>
    <row r="392" spans="8:21" x14ac:dyDescent="0.25">
      <c r="H392">
        <v>373</v>
      </c>
      <c r="I392" t="s">
        <v>292</v>
      </c>
      <c r="J392" t="s">
        <v>181</v>
      </c>
      <c r="K392" t="s">
        <v>264</v>
      </c>
      <c r="R392">
        <v>202</v>
      </c>
      <c r="S392" t="s">
        <v>582</v>
      </c>
      <c r="T392" t="s">
        <v>179</v>
      </c>
      <c r="U392" t="s">
        <v>654</v>
      </c>
    </row>
    <row r="393" spans="8:21" x14ac:dyDescent="0.25">
      <c r="H393">
        <v>398</v>
      </c>
      <c r="I393" t="s">
        <v>693</v>
      </c>
      <c r="J393" t="s">
        <v>178</v>
      </c>
      <c r="K393" t="s">
        <v>264</v>
      </c>
      <c r="R393">
        <v>204</v>
      </c>
      <c r="S393" t="s">
        <v>638</v>
      </c>
      <c r="T393" t="s">
        <v>179</v>
      </c>
      <c r="U393" t="s">
        <v>654</v>
      </c>
    </row>
    <row r="394" spans="8:21" x14ac:dyDescent="0.25">
      <c r="H394">
        <v>397</v>
      </c>
      <c r="I394" t="s">
        <v>8</v>
      </c>
      <c r="J394" t="s">
        <v>178</v>
      </c>
      <c r="K394" t="s">
        <v>264</v>
      </c>
      <c r="R394">
        <v>204</v>
      </c>
      <c r="S394" t="s">
        <v>638</v>
      </c>
      <c r="T394" t="s">
        <v>179</v>
      </c>
      <c r="U394" t="s">
        <v>654</v>
      </c>
    </row>
    <row r="395" spans="8:21" x14ac:dyDescent="0.25">
      <c r="H395">
        <v>661</v>
      </c>
      <c r="I395" t="s">
        <v>694</v>
      </c>
      <c r="J395" t="s">
        <v>178</v>
      </c>
      <c r="K395" t="s">
        <v>264</v>
      </c>
      <c r="R395">
        <v>205</v>
      </c>
      <c r="S395" t="s">
        <v>540</v>
      </c>
      <c r="T395" t="s">
        <v>179</v>
      </c>
      <c r="U395" t="s">
        <v>654</v>
      </c>
    </row>
    <row r="396" spans="8:21" x14ac:dyDescent="0.25">
      <c r="H396">
        <v>366</v>
      </c>
      <c r="I396" t="s">
        <v>439</v>
      </c>
      <c r="J396" t="s">
        <v>258</v>
      </c>
      <c r="K396" t="s">
        <v>264</v>
      </c>
      <c r="R396">
        <v>205</v>
      </c>
      <c r="S396" t="s">
        <v>540</v>
      </c>
      <c r="T396" t="s">
        <v>179</v>
      </c>
      <c r="U396" t="s">
        <v>654</v>
      </c>
    </row>
    <row r="397" spans="8:21" x14ac:dyDescent="0.25">
      <c r="H397">
        <v>367</v>
      </c>
      <c r="I397" t="s">
        <v>695</v>
      </c>
      <c r="J397" t="s">
        <v>258</v>
      </c>
      <c r="K397" t="s">
        <v>264</v>
      </c>
      <c r="R397">
        <v>188</v>
      </c>
      <c r="S397" t="s">
        <v>641</v>
      </c>
      <c r="T397" t="s">
        <v>181</v>
      </c>
      <c r="U397" t="s">
        <v>654</v>
      </c>
    </row>
    <row r="398" spans="8:21" x14ac:dyDescent="0.25">
      <c r="H398">
        <v>368</v>
      </c>
      <c r="I398" t="s">
        <v>696</v>
      </c>
      <c r="J398" t="s">
        <v>258</v>
      </c>
      <c r="K398" t="s">
        <v>264</v>
      </c>
      <c r="R398">
        <v>188</v>
      </c>
      <c r="S398" t="s">
        <v>641</v>
      </c>
      <c r="T398" t="s">
        <v>181</v>
      </c>
      <c r="U398" t="s">
        <v>654</v>
      </c>
    </row>
    <row r="399" spans="8:21" x14ac:dyDescent="0.25">
      <c r="H399">
        <v>369</v>
      </c>
      <c r="I399" t="s">
        <v>697</v>
      </c>
      <c r="J399" t="s">
        <v>258</v>
      </c>
      <c r="K399" t="s">
        <v>264</v>
      </c>
      <c r="R399">
        <v>189</v>
      </c>
      <c r="S399" t="s">
        <v>640</v>
      </c>
      <c r="T399" t="s">
        <v>181</v>
      </c>
      <c r="U399" t="s">
        <v>654</v>
      </c>
    </row>
    <row r="400" spans="8:21" x14ac:dyDescent="0.25">
      <c r="H400">
        <v>393</v>
      </c>
      <c r="I400" t="s">
        <v>334</v>
      </c>
      <c r="J400" t="s">
        <v>179</v>
      </c>
      <c r="K400" t="s">
        <v>264</v>
      </c>
      <c r="R400">
        <v>189</v>
      </c>
      <c r="S400" t="s">
        <v>640</v>
      </c>
      <c r="T400" t="s">
        <v>181</v>
      </c>
      <c r="U400" t="s">
        <v>654</v>
      </c>
    </row>
    <row r="401" spans="8:21" x14ac:dyDescent="0.25">
      <c r="H401">
        <v>388</v>
      </c>
      <c r="I401" t="s">
        <v>698</v>
      </c>
      <c r="J401" t="s">
        <v>179</v>
      </c>
      <c r="K401" t="s">
        <v>264</v>
      </c>
      <c r="R401">
        <v>470</v>
      </c>
      <c r="S401" t="s">
        <v>167</v>
      </c>
      <c r="T401" t="s">
        <v>258</v>
      </c>
      <c r="U401" t="s">
        <v>654</v>
      </c>
    </row>
    <row r="402" spans="8:21" x14ac:dyDescent="0.25">
      <c r="H402">
        <v>385</v>
      </c>
      <c r="I402" t="s">
        <v>699</v>
      </c>
      <c r="J402" t="s">
        <v>179</v>
      </c>
      <c r="K402" t="s">
        <v>264</v>
      </c>
      <c r="R402">
        <v>470</v>
      </c>
      <c r="S402" t="s">
        <v>630</v>
      </c>
      <c r="T402" t="s">
        <v>258</v>
      </c>
      <c r="U402" t="s">
        <v>654</v>
      </c>
    </row>
    <row r="403" spans="8:21" x14ac:dyDescent="0.25">
      <c r="H403">
        <v>391</v>
      </c>
      <c r="I403" t="s">
        <v>441</v>
      </c>
      <c r="J403" t="s">
        <v>179</v>
      </c>
      <c r="K403" t="s">
        <v>264</v>
      </c>
      <c r="R403">
        <v>206</v>
      </c>
      <c r="S403" t="s">
        <v>467</v>
      </c>
      <c r="T403" t="s">
        <v>179</v>
      </c>
      <c r="U403" t="s">
        <v>654</v>
      </c>
    </row>
    <row r="404" spans="8:21" x14ac:dyDescent="0.25">
      <c r="H404">
        <v>389</v>
      </c>
      <c r="I404" t="s">
        <v>144</v>
      </c>
      <c r="J404" t="s">
        <v>179</v>
      </c>
      <c r="K404" t="s">
        <v>264</v>
      </c>
      <c r="R404">
        <v>206</v>
      </c>
      <c r="S404" t="s">
        <v>467</v>
      </c>
      <c r="T404" t="s">
        <v>179</v>
      </c>
      <c r="U404" t="s">
        <v>654</v>
      </c>
    </row>
    <row r="405" spans="8:21" x14ac:dyDescent="0.25">
      <c r="H405">
        <v>392</v>
      </c>
      <c r="I405" t="s">
        <v>442</v>
      </c>
      <c r="J405" t="s">
        <v>179</v>
      </c>
      <c r="K405" t="s">
        <v>264</v>
      </c>
      <c r="R405">
        <v>190</v>
      </c>
      <c r="S405" t="s">
        <v>575</v>
      </c>
      <c r="T405" t="s">
        <v>181</v>
      </c>
      <c r="U405" t="s">
        <v>654</v>
      </c>
    </row>
    <row r="406" spans="8:21" x14ac:dyDescent="0.25">
      <c r="H406">
        <v>384</v>
      </c>
      <c r="I406" t="s">
        <v>304</v>
      </c>
      <c r="J406" t="s">
        <v>179</v>
      </c>
      <c r="K406" t="s">
        <v>264</v>
      </c>
      <c r="R406">
        <v>190</v>
      </c>
      <c r="S406" t="s">
        <v>575</v>
      </c>
      <c r="T406" t="s">
        <v>181</v>
      </c>
      <c r="U406" t="s">
        <v>654</v>
      </c>
    </row>
    <row r="407" spans="8:21" x14ac:dyDescent="0.25">
      <c r="H407">
        <v>390</v>
      </c>
      <c r="I407" t="s">
        <v>443</v>
      </c>
      <c r="J407" t="s">
        <v>179</v>
      </c>
      <c r="K407" t="s">
        <v>264</v>
      </c>
      <c r="R407">
        <v>191</v>
      </c>
      <c r="S407" t="s">
        <v>655</v>
      </c>
      <c r="T407" t="s">
        <v>181</v>
      </c>
      <c r="U407" t="s">
        <v>654</v>
      </c>
    </row>
    <row r="408" spans="8:21" x14ac:dyDescent="0.25">
      <c r="H408">
        <v>383</v>
      </c>
      <c r="I408" t="s">
        <v>5</v>
      </c>
      <c r="J408" t="s">
        <v>179</v>
      </c>
      <c r="K408" t="s">
        <v>264</v>
      </c>
      <c r="R408">
        <v>191</v>
      </c>
      <c r="S408" t="s">
        <v>643</v>
      </c>
      <c r="T408" t="s">
        <v>181</v>
      </c>
      <c r="U408" t="s">
        <v>654</v>
      </c>
    </row>
    <row r="409" spans="8:21" x14ac:dyDescent="0.25">
      <c r="H409">
        <v>381</v>
      </c>
      <c r="I409" t="s">
        <v>444</v>
      </c>
      <c r="J409" t="s">
        <v>179</v>
      </c>
      <c r="K409" t="s">
        <v>264</v>
      </c>
      <c r="R409">
        <v>215</v>
      </c>
      <c r="S409" t="s">
        <v>603</v>
      </c>
      <c r="T409" t="s">
        <v>178</v>
      </c>
      <c r="U409" t="s">
        <v>654</v>
      </c>
    </row>
    <row r="410" spans="8:21" x14ac:dyDescent="0.25">
      <c r="H410">
        <v>386</v>
      </c>
      <c r="I410" t="s">
        <v>43</v>
      </c>
      <c r="J410" t="s">
        <v>179</v>
      </c>
      <c r="K410" t="s">
        <v>264</v>
      </c>
      <c r="R410">
        <v>215</v>
      </c>
      <c r="S410" t="s">
        <v>603</v>
      </c>
      <c r="T410" t="s">
        <v>178</v>
      </c>
      <c r="U410" t="s">
        <v>654</v>
      </c>
    </row>
    <row r="411" spans="8:21" x14ac:dyDescent="0.25">
      <c r="H411">
        <v>394</v>
      </c>
      <c r="I411" t="s">
        <v>445</v>
      </c>
      <c r="J411" t="s">
        <v>179</v>
      </c>
      <c r="K411" t="s">
        <v>264</v>
      </c>
      <c r="R411">
        <v>217</v>
      </c>
      <c r="S411" t="s">
        <v>602</v>
      </c>
      <c r="T411" t="s">
        <v>178</v>
      </c>
      <c r="U411" t="s">
        <v>654</v>
      </c>
    </row>
    <row r="412" spans="8:21" x14ac:dyDescent="0.25">
      <c r="H412">
        <v>395</v>
      </c>
      <c r="I412" t="s">
        <v>446</v>
      </c>
      <c r="J412" t="s">
        <v>179</v>
      </c>
      <c r="K412" t="s">
        <v>264</v>
      </c>
      <c r="R412">
        <v>217</v>
      </c>
      <c r="S412" t="s">
        <v>602</v>
      </c>
      <c r="T412" t="s">
        <v>178</v>
      </c>
      <c r="U412" t="s">
        <v>654</v>
      </c>
    </row>
    <row r="413" spans="8:21" x14ac:dyDescent="0.25">
      <c r="H413">
        <v>396</v>
      </c>
      <c r="I413" t="s">
        <v>700</v>
      </c>
      <c r="J413" t="s">
        <v>179</v>
      </c>
      <c r="K413" t="s">
        <v>264</v>
      </c>
      <c r="R413">
        <v>184</v>
      </c>
      <c r="S413" t="s">
        <v>633</v>
      </c>
      <c r="T413" t="s">
        <v>258</v>
      </c>
      <c r="U413" t="s">
        <v>654</v>
      </c>
    </row>
    <row r="414" spans="8:21" x14ac:dyDescent="0.25">
      <c r="H414">
        <v>387</v>
      </c>
      <c r="I414" t="s">
        <v>284</v>
      </c>
      <c r="J414" t="s">
        <v>179</v>
      </c>
      <c r="K414" t="s">
        <v>264</v>
      </c>
      <c r="R414">
        <v>184</v>
      </c>
      <c r="S414" t="s">
        <v>633</v>
      </c>
      <c r="T414" t="s">
        <v>258</v>
      </c>
      <c r="U414" t="s">
        <v>654</v>
      </c>
    </row>
    <row r="415" spans="8:21" x14ac:dyDescent="0.25">
      <c r="H415">
        <v>382</v>
      </c>
      <c r="I415" t="s">
        <v>701</v>
      </c>
      <c r="J415" t="s">
        <v>179</v>
      </c>
      <c r="K415" t="s">
        <v>264</v>
      </c>
      <c r="R415">
        <v>207</v>
      </c>
      <c r="S415" t="s">
        <v>339</v>
      </c>
      <c r="T415" t="s">
        <v>179</v>
      </c>
      <c r="U415" t="s">
        <v>654</v>
      </c>
    </row>
    <row r="416" spans="8:21" x14ac:dyDescent="0.25">
      <c r="H416">
        <v>402</v>
      </c>
      <c r="I416" t="s">
        <v>366</v>
      </c>
      <c r="J416" t="s">
        <v>181</v>
      </c>
      <c r="K416" t="s">
        <v>262</v>
      </c>
      <c r="R416">
        <v>207</v>
      </c>
      <c r="S416" t="s">
        <v>339</v>
      </c>
      <c r="T416" t="s">
        <v>179</v>
      </c>
      <c r="U416" t="s">
        <v>654</v>
      </c>
    </row>
    <row r="417" spans="8:21" x14ac:dyDescent="0.25">
      <c r="H417">
        <v>404</v>
      </c>
      <c r="I417" t="s">
        <v>299</v>
      </c>
      <c r="J417" t="s">
        <v>181</v>
      </c>
      <c r="K417" t="s">
        <v>262</v>
      </c>
      <c r="R417">
        <v>192</v>
      </c>
      <c r="S417" t="s">
        <v>642</v>
      </c>
      <c r="T417" t="s">
        <v>181</v>
      </c>
      <c r="U417" t="s">
        <v>654</v>
      </c>
    </row>
    <row r="418" spans="8:21" x14ac:dyDescent="0.25">
      <c r="H418">
        <v>405</v>
      </c>
      <c r="I418" t="s">
        <v>39</v>
      </c>
      <c r="J418" t="s">
        <v>181</v>
      </c>
      <c r="K418" t="s">
        <v>262</v>
      </c>
      <c r="R418">
        <v>192</v>
      </c>
      <c r="S418" t="s">
        <v>642</v>
      </c>
      <c r="T418" t="s">
        <v>181</v>
      </c>
      <c r="U418" t="s">
        <v>654</v>
      </c>
    </row>
    <row r="419" spans="8:21" x14ac:dyDescent="0.25">
      <c r="H419">
        <v>403</v>
      </c>
      <c r="I419" t="s">
        <v>447</v>
      </c>
      <c r="J419" t="s">
        <v>181</v>
      </c>
      <c r="K419" t="s">
        <v>262</v>
      </c>
      <c r="R419">
        <v>185</v>
      </c>
      <c r="S419" t="s">
        <v>656</v>
      </c>
      <c r="T419" t="s">
        <v>258</v>
      </c>
      <c r="U419" t="s">
        <v>654</v>
      </c>
    </row>
    <row r="420" spans="8:21" x14ac:dyDescent="0.25">
      <c r="H420">
        <v>406</v>
      </c>
      <c r="I420" t="s">
        <v>702</v>
      </c>
      <c r="J420" t="s">
        <v>181</v>
      </c>
      <c r="K420" t="s">
        <v>262</v>
      </c>
      <c r="R420">
        <v>185</v>
      </c>
      <c r="S420" t="s">
        <v>513</v>
      </c>
      <c r="T420" t="s">
        <v>258</v>
      </c>
      <c r="U420" t="s">
        <v>654</v>
      </c>
    </row>
    <row r="421" spans="8:21" x14ac:dyDescent="0.25">
      <c r="H421">
        <v>410</v>
      </c>
      <c r="I421" t="s">
        <v>448</v>
      </c>
      <c r="J421" t="s">
        <v>181</v>
      </c>
      <c r="K421" t="s">
        <v>262</v>
      </c>
      <c r="R421">
        <v>193</v>
      </c>
      <c r="S421" t="s">
        <v>436</v>
      </c>
      <c r="T421" t="s">
        <v>181</v>
      </c>
      <c r="U421" t="s">
        <v>654</v>
      </c>
    </row>
    <row r="422" spans="8:21" x14ac:dyDescent="0.25">
      <c r="H422">
        <v>407</v>
      </c>
      <c r="I422" t="s">
        <v>316</v>
      </c>
      <c r="J422" t="s">
        <v>181</v>
      </c>
      <c r="K422" t="s">
        <v>262</v>
      </c>
      <c r="R422">
        <v>193</v>
      </c>
      <c r="S422" t="s">
        <v>436</v>
      </c>
      <c r="T422" t="s">
        <v>181</v>
      </c>
      <c r="U422" t="s">
        <v>654</v>
      </c>
    </row>
    <row r="423" spans="8:21" x14ac:dyDescent="0.25">
      <c r="H423">
        <v>411</v>
      </c>
      <c r="I423" t="s">
        <v>703</v>
      </c>
      <c r="J423" t="s">
        <v>181</v>
      </c>
      <c r="K423" t="s">
        <v>262</v>
      </c>
      <c r="R423">
        <v>194</v>
      </c>
      <c r="S423" t="s">
        <v>637</v>
      </c>
      <c r="T423" t="s">
        <v>181</v>
      </c>
      <c r="U423" t="s">
        <v>654</v>
      </c>
    </row>
    <row r="424" spans="8:21" x14ac:dyDescent="0.25">
      <c r="H424">
        <v>408</v>
      </c>
      <c r="I424" t="s">
        <v>350</v>
      </c>
      <c r="J424" t="s">
        <v>181</v>
      </c>
      <c r="K424" t="s">
        <v>262</v>
      </c>
      <c r="R424">
        <v>194</v>
      </c>
      <c r="S424" t="s">
        <v>637</v>
      </c>
      <c r="T424" t="s">
        <v>181</v>
      </c>
      <c r="U424" t="s">
        <v>654</v>
      </c>
    </row>
    <row r="425" spans="8:21" x14ac:dyDescent="0.25">
      <c r="H425">
        <v>409</v>
      </c>
      <c r="I425" t="s">
        <v>20</v>
      </c>
      <c r="J425" t="s">
        <v>181</v>
      </c>
      <c r="K425" t="s">
        <v>262</v>
      </c>
      <c r="R425">
        <v>208</v>
      </c>
      <c r="S425" t="s">
        <v>562</v>
      </c>
      <c r="T425" t="s">
        <v>179</v>
      </c>
      <c r="U425" t="s">
        <v>654</v>
      </c>
    </row>
    <row r="426" spans="8:21" x14ac:dyDescent="0.25">
      <c r="H426">
        <v>412</v>
      </c>
      <c r="I426" t="s">
        <v>704</v>
      </c>
      <c r="J426" t="s">
        <v>181</v>
      </c>
      <c r="K426" t="s">
        <v>262</v>
      </c>
      <c r="R426">
        <v>208</v>
      </c>
      <c r="S426" t="s">
        <v>562</v>
      </c>
      <c r="T426" t="s">
        <v>179</v>
      </c>
      <c r="U426" t="s">
        <v>654</v>
      </c>
    </row>
    <row r="427" spans="8:21" x14ac:dyDescent="0.25">
      <c r="H427">
        <v>430</v>
      </c>
      <c r="I427" t="s">
        <v>1</v>
      </c>
      <c r="J427" t="s">
        <v>178</v>
      </c>
      <c r="K427" t="s">
        <v>262</v>
      </c>
      <c r="R427">
        <v>209</v>
      </c>
      <c r="S427" t="s">
        <v>574</v>
      </c>
      <c r="T427" t="s">
        <v>179</v>
      </c>
      <c r="U427" t="s">
        <v>654</v>
      </c>
    </row>
    <row r="428" spans="8:21" x14ac:dyDescent="0.25">
      <c r="H428">
        <v>401</v>
      </c>
      <c r="I428" t="s">
        <v>317</v>
      </c>
      <c r="J428" t="s">
        <v>258</v>
      </c>
      <c r="K428" t="s">
        <v>262</v>
      </c>
      <c r="R428">
        <v>209</v>
      </c>
      <c r="S428" t="s">
        <v>574</v>
      </c>
      <c r="T428" t="s">
        <v>179</v>
      </c>
      <c r="U428" t="s">
        <v>654</v>
      </c>
    </row>
    <row r="429" spans="8:21" x14ac:dyDescent="0.25">
      <c r="H429">
        <v>399</v>
      </c>
      <c r="I429" t="s">
        <v>276</v>
      </c>
      <c r="J429" t="s">
        <v>258</v>
      </c>
      <c r="K429" t="s">
        <v>262</v>
      </c>
      <c r="R429">
        <v>195</v>
      </c>
      <c r="S429" t="s">
        <v>585</v>
      </c>
      <c r="T429" t="s">
        <v>181</v>
      </c>
      <c r="U429" t="s">
        <v>654</v>
      </c>
    </row>
    <row r="430" spans="8:21" x14ac:dyDescent="0.25">
      <c r="H430">
        <v>400</v>
      </c>
      <c r="I430" t="s">
        <v>336</v>
      </c>
      <c r="J430" t="s">
        <v>258</v>
      </c>
      <c r="K430" t="s">
        <v>262</v>
      </c>
      <c r="R430">
        <v>195</v>
      </c>
      <c r="S430" t="s">
        <v>585</v>
      </c>
      <c r="T430" t="s">
        <v>181</v>
      </c>
      <c r="U430" t="s">
        <v>654</v>
      </c>
    </row>
    <row r="431" spans="8:21" x14ac:dyDescent="0.25">
      <c r="H431">
        <v>182</v>
      </c>
      <c r="I431" t="s">
        <v>705</v>
      </c>
      <c r="J431" t="s">
        <v>258</v>
      </c>
      <c r="K431" t="s">
        <v>262</v>
      </c>
      <c r="R431">
        <v>219</v>
      </c>
      <c r="S431" t="s">
        <v>515</v>
      </c>
      <c r="T431" t="s">
        <v>178</v>
      </c>
      <c r="U431" t="s">
        <v>654</v>
      </c>
    </row>
    <row r="432" spans="8:21" x14ac:dyDescent="0.25">
      <c r="H432">
        <v>416</v>
      </c>
      <c r="I432" t="s">
        <v>16</v>
      </c>
      <c r="J432" t="s">
        <v>179</v>
      </c>
      <c r="K432" t="s">
        <v>262</v>
      </c>
      <c r="R432">
        <v>219</v>
      </c>
      <c r="S432" t="s">
        <v>515</v>
      </c>
      <c r="T432" t="s">
        <v>178</v>
      </c>
      <c r="U432" t="s">
        <v>654</v>
      </c>
    </row>
    <row r="433" spans="8:21" x14ac:dyDescent="0.25">
      <c r="H433">
        <v>424</v>
      </c>
      <c r="I433" t="s">
        <v>337</v>
      </c>
      <c r="J433" t="s">
        <v>179</v>
      </c>
      <c r="K433" t="s">
        <v>262</v>
      </c>
      <c r="R433">
        <v>186</v>
      </c>
      <c r="S433" t="s">
        <v>636</v>
      </c>
      <c r="T433" t="s">
        <v>181</v>
      </c>
      <c r="U433" t="s">
        <v>654</v>
      </c>
    </row>
    <row r="434" spans="8:21" x14ac:dyDescent="0.25">
      <c r="H434">
        <v>417</v>
      </c>
      <c r="I434" t="s">
        <v>706</v>
      </c>
      <c r="J434" t="s">
        <v>179</v>
      </c>
      <c r="K434" t="s">
        <v>262</v>
      </c>
      <c r="R434">
        <v>186</v>
      </c>
      <c r="S434" t="s">
        <v>636</v>
      </c>
      <c r="T434" t="s">
        <v>181</v>
      </c>
      <c r="U434" t="s">
        <v>654</v>
      </c>
    </row>
    <row r="435" spans="8:21" x14ac:dyDescent="0.25">
      <c r="H435">
        <v>418</v>
      </c>
      <c r="I435" t="s">
        <v>449</v>
      </c>
      <c r="J435" t="s">
        <v>179</v>
      </c>
      <c r="K435" t="s">
        <v>262</v>
      </c>
      <c r="R435">
        <v>196</v>
      </c>
      <c r="S435" t="s">
        <v>564</v>
      </c>
      <c r="T435" t="s">
        <v>181</v>
      </c>
      <c r="U435" t="s">
        <v>654</v>
      </c>
    </row>
    <row r="436" spans="8:21" x14ac:dyDescent="0.25">
      <c r="H436">
        <v>425</v>
      </c>
      <c r="I436" t="s">
        <v>707</v>
      </c>
      <c r="J436" t="s">
        <v>179</v>
      </c>
      <c r="K436" t="s">
        <v>262</v>
      </c>
      <c r="R436">
        <v>196</v>
      </c>
      <c r="S436" t="s">
        <v>564</v>
      </c>
      <c r="T436" t="s">
        <v>181</v>
      </c>
      <c r="U436" t="s">
        <v>654</v>
      </c>
    </row>
    <row r="437" spans="8:21" x14ac:dyDescent="0.25">
      <c r="H437">
        <v>414</v>
      </c>
      <c r="I437" t="s">
        <v>3</v>
      </c>
      <c r="J437" t="s">
        <v>179</v>
      </c>
      <c r="K437" t="s">
        <v>262</v>
      </c>
      <c r="R437">
        <v>197</v>
      </c>
      <c r="S437" t="s">
        <v>577</v>
      </c>
      <c r="T437" t="s">
        <v>181</v>
      </c>
      <c r="U437" t="s">
        <v>654</v>
      </c>
    </row>
    <row r="438" spans="8:21" x14ac:dyDescent="0.25">
      <c r="H438">
        <v>419</v>
      </c>
      <c r="I438" t="s">
        <v>73</v>
      </c>
      <c r="J438" t="s">
        <v>179</v>
      </c>
      <c r="K438" t="s">
        <v>262</v>
      </c>
      <c r="R438">
        <v>197</v>
      </c>
      <c r="S438" t="s">
        <v>577</v>
      </c>
      <c r="T438" t="s">
        <v>181</v>
      </c>
      <c r="U438" t="s">
        <v>654</v>
      </c>
    </row>
    <row r="439" spans="8:21" x14ac:dyDescent="0.25">
      <c r="H439">
        <v>420</v>
      </c>
      <c r="I439" t="s">
        <v>708</v>
      </c>
      <c r="J439" t="s">
        <v>179</v>
      </c>
      <c r="K439" t="s">
        <v>262</v>
      </c>
      <c r="R439">
        <v>210</v>
      </c>
      <c r="S439" t="s">
        <v>526</v>
      </c>
      <c r="T439" t="s">
        <v>179</v>
      </c>
      <c r="U439" t="s">
        <v>654</v>
      </c>
    </row>
    <row r="440" spans="8:21" x14ac:dyDescent="0.25">
      <c r="H440">
        <v>422</v>
      </c>
      <c r="I440" t="s">
        <v>84</v>
      </c>
      <c r="J440" t="s">
        <v>179</v>
      </c>
      <c r="K440" t="s">
        <v>262</v>
      </c>
      <c r="R440">
        <v>210</v>
      </c>
      <c r="S440" t="s">
        <v>526</v>
      </c>
      <c r="T440" t="s">
        <v>179</v>
      </c>
      <c r="U440" t="s">
        <v>654</v>
      </c>
    </row>
    <row r="441" spans="8:21" x14ac:dyDescent="0.25">
      <c r="H441">
        <v>413</v>
      </c>
      <c r="I441" t="s">
        <v>709</v>
      </c>
      <c r="J441" t="s">
        <v>179</v>
      </c>
      <c r="K441" t="s">
        <v>262</v>
      </c>
      <c r="R441">
        <v>214</v>
      </c>
      <c r="S441" t="s">
        <v>657</v>
      </c>
      <c r="T441" t="s">
        <v>179</v>
      </c>
      <c r="U441" t="s">
        <v>654</v>
      </c>
    </row>
    <row r="442" spans="8:21" x14ac:dyDescent="0.25">
      <c r="H442">
        <v>426</v>
      </c>
      <c r="I442" t="s">
        <v>171</v>
      </c>
      <c r="J442" t="s">
        <v>179</v>
      </c>
      <c r="K442" t="s">
        <v>262</v>
      </c>
      <c r="R442">
        <v>214</v>
      </c>
      <c r="S442" t="s">
        <v>601</v>
      </c>
      <c r="T442" t="s">
        <v>179</v>
      </c>
      <c r="U442" t="s">
        <v>654</v>
      </c>
    </row>
    <row r="443" spans="8:21" x14ac:dyDescent="0.25">
      <c r="H443">
        <v>423</v>
      </c>
      <c r="I443" t="s">
        <v>710</v>
      </c>
      <c r="J443" t="s">
        <v>179</v>
      </c>
      <c r="K443" t="s">
        <v>262</v>
      </c>
      <c r="R443">
        <v>198</v>
      </c>
      <c r="S443" t="s">
        <v>434</v>
      </c>
      <c r="T443" t="s">
        <v>181</v>
      </c>
      <c r="U443" t="s">
        <v>654</v>
      </c>
    </row>
    <row r="444" spans="8:21" x14ac:dyDescent="0.25">
      <c r="H444">
        <v>428</v>
      </c>
      <c r="I444" t="s">
        <v>711</v>
      </c>
      <c r="J444" t="s">
        <v>179</v>
      </c>
      <c r="K444" t="s">
        <v>262</v>
      </c>
      <c r="R444">
        <v>198</v>
      </c>
      <c r="S444" t="s">
        <v>434</v>
      </c>
      <c r="T444" t="s">
        <v>181</v>
      </c>
      <c r="U444" t="s">
        <v>654</v>
      </c>
    </row>
    <row r="445" spans="8:21" x14ac:dyDescent="0.25">
      <c r="H445">
        <v>429</v>
      </c>
      <c r="I445" t="s">
        <v>122</v>
      </c>
      <c r="J445" t="s">
        <v>179</v>
      </c>
      <c r="K445" t="s">
        <v>262</v>
      </c>
      <c r="R445">
        <v>676</v>
      </c>
      <c r="S445" t="s">
        <v>419</v>
      </c>
      <c r="T445" t="s">
        <v>179</v>
      </c>
      <c r="U445" t="s">
        <v>654</v>
      </c>
    </row>
    <row r="446" spans="8:21" x14ac:dyDescent="0.25">
      <c r="H446">
        <v>427</v>
      </c>
      <c r="I446" t="s">
        <v>712</v>
      </c>
      <c r="J446" t="s">
        <v>179</v>
      </c>
      <c r="K446" t="s">
        <v>262</v>
      </c>
      <c r="R446">
        <v>676</v>
      </c>
      <c r="S446" t="s">
        <v>419</v>
      </c>
      <c r="T446" t="s">
        <v>179</v>
      </c>
      <c r="U446" t="s">
        <v>654</v>
      </c>
    </row>
    <row r="447" spans="8:21" x14ac:dyDescent="0.25">
      <c r="H447">
        <v>421</v>
      </c>
      <c r="I447" t="s">
        <v>113</v>
      </c>
      <c r="J447" t="s">
        <v>179</v>
      </c>
      <c r="K447" t="s">
        <v>262</v>
      </c>
      <c r="R447">
        <v>187</v>
      </c>
      <c r="S447" t="s">
        <v>25</v>
      </c>
      <c r="T447" t="s">
        <v>181</v>
      </c>
      <c r="U447" t="s">
        <v>654</v>
      </c>
    </row>
    <row r="448" spans="8:21" x14ac:dyDescent="0.25">
      <c r="H448">
        <v>415</v>
      </c>
      <c r="I448" t="s">
        <v>713</v>
      </c>
      <c r="J448" t="s">
        <v>179</v>
      </c>
      <c r="K448" t="s">
        <v>262</v>
      </c>
      <c r="R448">
        <v>187</v>
      </c>
      <c r="S448" t="s">
        <v>25</v>
      </c>
      <c r="T448" t="s">
        <v>181</v>
      </c>
      <c r="U448" t="s">
        <v>654</v>
      </c>
    </row>
    <row r="449" spans="8:21" x14ac:dyDescent="0.25">
      <c r="H449">
        <v>445</v>
      </c>
      <c r="I449" t="s">
        <v>714</v>
      </c>
      <c r="J449" t="s">
        <v>181</v>
      </c>
      <c r="K449" t="s">
        <v>265</v>
      </c>
      <c r="R449">
        <v>183</v>
      </c>
      <c r="S449" t="s">
        <v>632</v>
      </c>
      <c r="T449" t="s">
        <v>258</v>
      </c>
      <c r="U449" t="s">
        <v>654</v>
      </c>
    </row>
    <row r="450" spans="8:21" x14ac:dyDescent="0.25">
      <c r="H450">
        <v>439</v>
      </c>
      <c r="I450" t="s">
        <v>715</v>
      </c>
      <c r="J450" t="s">
        <v>181</v>
      </c>
      <c r="K450" t="s">
        <v>265</v>
      </c>
      <c r="R450">
        <v>183</v>
      </c>
      <c r="S450" t="s">
        <v>632</v>
      </c>
      <c r="T450" t="s">
        <v>258</v>
      </c>
      <c r="U450" t="s">
        <v>654</v>
      </c>
    </row>
    <row r="451" spans="8:21" x14ac:dyDescent="0.25">
      <c r="H451">
        <v>440</v>
      </c>
      <c r="I451" t="s">
        <v>80</v>
      </c>
      <c r="J451" t="s">
        <v>181</v>
      </c>
      <c r="K451" t="s">
        <v>265</v>
      </c>
      <c r="R451">
        <v>199</v>
      </c>
      <c r="S451" t="s">
        <v>95</v>
      </c>
      <c r="T451" t="s">
        <v>181</v>
      </c>
      <c r="U451" t="s">
        <v>654</v>
      </c>
    </row>
    <row r="452" spans="8:21" x14ac:dyDescent="0.25">
      <c r="H452">
        <v>436</v>
      </c>
      <c r="I452" t="s">
        <v>505</v>
      </c>
      <c r="J452" t="s">
        <v>181</v>
      </c>
      <c r="K452" t="s">
        <v>265</v>
      </c>
      <c r="R452">
        <v>199</v>
      </c>
      <c r="S452" t="s">
        <v>95</v>
      </c>
      <c r="T452" t="s">
        <v>181</v>
      </c>
      <c r="U452" t="s">
        <v>654</v>
      </c>
    </row>
    <row r="453" spans="8:21" x14ac:dyDescent="0.25">
      <c r="H453">
        <v>441</v>
      </c>
      <c r="I453" t="s">
        <v>716</v>
      </c>
      <c r="J453" t="s">
        <v>181</v>
      </c>
      <c r="K453" t="s">
        <v>265</v>
      </c>
      <c r="R453">
        <v>233</v>
      </c>
      <c r="S453" t="s">
        <v>545</v>
      </c>
      <c r="T453" t="s">
        <v>181</v>
      </c>
      <c r="U453" t="s">
        <v>271</v>
      </c>
    </row>
    <row r="454" spans="8:21" x14ac:dyDescent="0.25">
      <c r="H454">
        <v>446</v>
      </c>
      <c r="I454" t="s">
        <v>717</v>
      </c>
      <c r="J454" t="s">
        <v>181</v>
      </c>
      <c r="K454" t="s">
        <v>265</v>
      </c>
      <c r="R454">
        <v>233</v>
      </c>
      <c r="S454" t="s">
        <v>545</v>
      </c>
      <c r="T454" t="s">
        <v>181</v>
      </c>
      <c r="U454" t="s">
        <v>271</v>
      </c>
    </row>
    <row r="455" spans="8:21" x14ac:dyDescent="0.25">
      <c r="H455">
        <v>447</v>
      </c>
      <c r="I455" t="s">
        <v>718</v>
      </c>
      <c r="J455" t="s">
        <v>181</v>
      </c>
      <c r="K455" t="s">
        <v>265</v>
      </c>
      <c r="R455">
        <v>246</v>
      </c>
      <c r="S455" t="s">
        <v>416</v>
      </c>
      <c r="T455" t="s">
        <v>179</v>
      </c>
      <c r="U455" t="s">
        <v>271</v>
      </c>
    </row>
    <row r="456" spans="8:21" x14ac:dyDescent="0.25">
      <c r="H456">
        <v>442</v>
      </c>
      <c r="I456" t="s">
        <v>63</v>
      </c>
      <c r="J456" t="s">
        <v>181</v>
      </c>
      <c r="K456" t="s">
        <v>265</v>
      </c>
      <c r="R456">
        <v>246</v>
      </c>
      <c r="S456" t="s">
        <v>416</v>
      </c>
      <c r="T456" t="s">
        <v>179</v>
      </c>
      <c r="U456" t="s">
        <v>271</v>
      </c>
    </row>
    <row r="457" spans="8:21" x14ac:dyDescent="0.25">
      <c r="H457">
        <v>448</v>
      </c>
      <c r="I457" t="s">
        <v>126</v>
      </c>
      <c r="J457" t="s">
        <v>181</v>
      </c>
      <c r="K457" t="s">
        <v>265</v>
      </c>
      <c r="R457">
        <v>234</v>
      </c>
      <c r="S457" t="s">
        <v>553</v>
      </c>
      <c r="T457" t="s">
        <v>181</v>
      </c>
      <c r="U457" t="s">
        <v>271</v>
      </c>
    </row>
    <row r="458" spans="8:21" x14ac:dyDescent="0.25">
      <c r="H458">
        <v>437</v>
      </c>
      <c r="I458" t="s">
        <v>22</v>
      </c>
      <c r="J458" t="s">
        <v>181</v>
      </c>
      <c r="K458" t="s">
        <v>265</v>
      </c>
      <c r="R458">
        <v>234</v>
      </c>
      <c r="S458" t="s">
        <v>553</v>
      </c>
      <c r="T458" t="s">
        <v>181</v>
      </c>
      <c r="U458" t="s">
        <v>271</v>
      </c>
    </row>
    <row r="459" spans="8:21" x14ac:dyDescent="0.25">
      <c r="H459">
        <v>438</v>
      </c>
      <c r="I459" t="s">
        <v>506</v>
      </c>
      <c r="J459" t="s">
        <v>181</v>
      </c>
      <c r="K459" t="s">
        <v>265</v>
      </c>
      <c r="R459">
        <v>229</v>
      </c>
      <c r="S459" t="s">
        <v>305</v>
      </c>
      <c r="T459" t="s">
        <v>181</v>
      </c>
      <c r="U459" t="s">
        <v>271</v>
      </c>
    </row>
    <row r="460" spans="8:21" x14ac:dyDescent="0.25">
      <c r="H460">
        <v>443</v>
      </c>
      <c r="I460" t="s">
        <v>58</v>
      </c>
      <c r="J460" t="s">
        <v>181</v>
      </c>
      <c r="K460" t="s">
        <v>265</v>
      </c>
      <c r="R460">
        <v>229</v>
      </c>
      <c r="S460" t="s">
        <v>305</v>
      </c>
      <c r="T460" t="s">
        <v>181</v>
      </c>
      <c r="U460" t="s">
        <v>271</v>
      </c>
    </row>
    <row r="461" spans="8:21" x14ac:dyDescent="0.25">
      <c r="H461">
        <v>444</v>
      </c>
      <c r="I461" t="s">
        <v>450</v>
      </c>
      <c r="J461" t="s">
        <v>181</v>
      </c>
      <c r="K461" t="s">
        <v>265</v>
      </c>
      <c r="R461">
        <v>241</v>
      </c>
      <c r="S461" t="s">
        <v>86</v>
      </c>
      <c r="T461" t="s">
        <v>179</v>
      </c>
      <c r="U461" t="s">
        <v>271</v>
      </c>
    </row>
    <row r="462" spans="8:21" x14ac:dyDescent="0.25">
      <c r="H462">
        <v>465</v>
      </c>
      <c r="I462" t="s">
        <v>451</v>
      </c>
      <c r="J462" t="s">
        <v>178</v>
      </c>
      <c r="K462" t="s">
        <v>265</v>
      </c>
      <c r="R462">
        <v>241</v>
      </c>
      <c r="S462" t="s">
        <v>86</v>
      </c>
      <c r="T462" t="s">
        <v>179</v>
      </c>
      <c r="U462" t="s">
        <v>271</v>
      </c>
    </row>
    <row r="463" spans="8:21" x14ac:dyDescent="0.25">
      <c r="H463">
        <v>467</v>
      </c>
      <c r="I463" t="s">
        <v>719</v>
      </c>
      <c r="J463" t="s">
        <v>178</v>
      </c>
      <c r="K463" t="s">
        <v>265</v>
      </c>
      <c r="R463">
        <v>226</v>
      </c>
      <c r="S463" t="s">
        <v>121</v>
      </c>
      <c r="T463" t="s">
        <v>181</v>
      </c>
      <c r="U463" t="s">
        <v>271</v>
      </c>
    </row>
    <row r="464" spans="8:21" x14ac:dyDescent="0.25">
      <c r="H464">
        <v>681</v>
      </c>
      <c r="I464" t="s">
        <v>833</v>
      </c>
      <c r="J464" t="s">
        <v>178</v>
      </c>
      <c r="K464" t="s">
        <v>265</v>
      </c>
      <c r="R464">
        <v>226</v>
      </c>
      <c r="S464" t="s">
        <v>121</v>
      </c>
      <c r="T464" t="s">
        <v>181</v>
      </c>
      <c r="U464" t="s">
        <v>271</v>
      </c>
    </row>
    <row r="465" spans="8:21" x14ac:dyDescent="0.25">
      <c r="H465">
        <v>468</v>
      </c>
      <c r="I465" t="s">
        <v>720</v>
      </c>
      <c r="J465" t="s">
        <v>178</v>
      </c>
      <c r="K465" t="s">
        <v>265</v>
      </c>
      <c r="R465">
        <v>227</v>
      </c>
      <c r="S465" t="s">
        <v>318</v>
      </c>
      <c r="T465" t="s">
        <v>181</v>
      </c>
      <c r="U465" t="s">
        <v>271</v>
      </c>
    </row>
    <row r="466" spans="8:21" x14ac:dyDescent="0.25">
      <c r="H466">
        <v>466</v>
      </c>
      <c r="I466" t="s">
        <v>452</v>
      </c>
      <c r="J466" t="s">
        <v>178</v>
      </c>
      <c r="K466" t="s">
        <v>265</v>
      </c>
      <c r="R466">
        <v>227</v>
      </c>
      <c r="S466" t="s">
        <v>318</v>
      </c>
      <c r="T466" t="s">
        <v>181</v>
      </c>
      <c r="U466" t="s">
        <v>271</v>
      </c>
    </row>
    <row r="467" spans="8:21" x14ac:dyDescent="0.25">
      <c r="H467">
        <v>431</v>
      </c>
      <c r="I467" t="s">
        <v>453</v>
      </c>
      <c r="J467" t="s">
        <v>258</v>
      </c>
      <c r="K467" t="s">
        <v>265</v>
      </c>
      <c r="R467">
        <v>224</v>
      </c>
      <c r="S467" t="s">
        <v>48</v>
      </c>
      <c r="T467" t="s">
        <v>181</v>
      </c>
      <c r="U467" t="s">
        <v>271</v>
      </c>
    </row>
    <row r="468" spans="8:21" x14ac:dyDescent="0.25">
      <c r="H468">
        <v>433</v>
      </c>
      <c r="I468" t="s">
        <v>427</v>
      </c>
      <c r="J468" t="s">
        <v>258</v>
      </c>
      <c r="K468" t="s">
        <v>265</v>
      </c>
      <c r="R468">
        <v>224</v>
      </c>
      <c r="S468" t="s">
        <v>48</v>
      </c>
      <c r="T468" t="s">
        <v>181</v>
      </c>
      <c r="U468" t="s">
        <v>271</v>
      </c>
    </row>
    <row r="469" spans="8:21" x14ac:dyDescent="0.25">
      <c r="H469">
        <v>434</v>
      </c>
      <c r="I469" t="s">
        <v>161</v>
      </c>
      <c r="J469" t="s">
        <v>258</v>
      </c>
      <c r="K469" t="s">
        <v>265</v>
      </c>
      <c r="R469">
        <v>247</v>
      </c>
      <c r="S469" t="s">
        <v>512</v>
      </c>
      <c r="T469" t="s">
        <v>179</v>
      </c>
      <c r="U469" t="s">
        <v>271</v>
      </c>
    </row>
    <row r="470" spans="8:21" x14ac:dyDescent="0.25">
      <c r="H470">
        <v>435</v>
      </c>
      <c r="I470" t="s">
        <v>70</v>
      </c>
      <c r="J470" t="s">
        <v>258</v>
      </c>
      <c r="K470" t="s">
        <v>265</v>
      </c>
      <c r="R470">
        <v>247</v>
      </c>
      <c r="S470" t="s">
        <v>512</v>
      </c>
      <c r="T470" t="s">
        <v>179</v>
      </c>
      <c r="U470" t="s">
        <v>271</v>
      </c>
    </row>
    <row r="471" spans="8:21" x14ac:dyDescent="0.25">
      <c r="H471">
        <v>432</v>
      </c>
      <c r="I471" t="s">
        <v>330</v>
      </c>
      <c r="J471" t="s">
        <v>258</v>
      </c>
      <c r="K471" t="s">
        <v>265</v>
      </c>
      <c r="R471">
        <v>250</v>
      </c>
      <c r="S471" t="s">
        <v>435</v>
      </c>
      <c r="T471" t="s">
        <v>178</v>
      </c>
      <c r="U471" t="s">
        <v>271</v>
      </c>
    </row>
    <row r="472" spans="8:21" x14ac:dyDescent="0.25">
      <c r="H472">
        <v>452</v>
      </c>
      <c r="I472" t="s">
        <v>338</v>
      </c>
      <c r="J472" t="s">
        <v>179</v>
      </c>
      <c r="K472" t="s">
        <v>265</v>
      </c>
      <c r="R472">
        <v>250</v>
      </c>
      <c r="S472" t="s">
        <v>435</v>
      </c>
      <c r="T472" t="s">
        <v>178</v>
      </c>
      <c r="U472" t="s">
        <v>271</v>
      </c>
    </row>
    <row r="473" spans="8:21" x14ac:dyDescent="0.25">
      <c r="H473">
        <v>454</v>
      </c>
      <c r="I473" t="s">
        <v>290</v>
      </c>
      <c r="J473" t="s">
        <v>179</v>
      </c>
      <c r="K473" t="s">
        <v>265</v>
      </c>
      <c r="R473">
        <v>237</v>
      </c>
      <c r="S473" t="s">
        <v>310</v>
      </c>
      <c r="T473" t="s">
        <v>179</v>
      </c>
      <c r="U473" t="s">
        <v>271</v>
      </c>
    </row>
    <row r="474" spans="8:21" x14ac:dyDescent="0.25">
      <c r="H474">
        <v>449</v>
      </c>
      <c r="I474" t="s">
        <v>266</v>
      </c>
      <c r="J474" t="s">
        <v>179</v>
      </c>
      <c r="K474" t="s">
        <v>265</v>
      </c>
      <c r="R474">
        <v>237</v>
      </c>
      <c r="S474" t="s">
        <v>310</v>
      </c>
      <c r="T474" t="s">
        <v>179</v>
      </c>
      <c r="U474" t="s">
        <v>271</v>
      </c>
    </row>
    <row r="475" spans="8:21" x14ac:dyDescent="0.25">
      <c r="H475">
        <v>457</v>
      </c>
      <c r="I475" t="s">
        <v>294</v>
      </c>
      <c r="J475" t="s">
        <v>179</v>
      </c>
      <c r="K475" t="s">
        <v>265</v>
      </c>
      <c r="R475">
        <v>238</v>
      </c>
      <c r="S475" t="s">
        <v>658</v>
      </c>
      <c r="T475" t="s">
        <v>179</v>
      </c>
      <c r="U475" t="s">
        <v>271</v>
      </c>
    </row>
    <row r="476" spans="8:21" x14ac:dyDescent="0.25">
      <c r="H476">
        <v>460</v>
      </c>
      <c r="I476" t="s">
        <v>721</v>
      </c>
      <c r="J476" t="s">
        <v>179</v>
      </c>
      <c r="K476" t="s">
        <v>265</v>
      </c>
      <c r="R476">
        <v>238</v>
      </c>
      <c r="S476" t="s">
        <v>605</v>
      </c>
      <c r="T476" t="s">
        <v>179</v>
      </c>
      <c r="U476" t="s">
        <v>271</v>
      </c>
    </row>
    <row r="477" spans="8:21" x14ac:dyDescent="0.25">
      <c r="H477">
        <v>450</v>
      </c>
      <c r="I477" t="s">
        <v>346</v>
      </c>
      <c r="J477" t="s">
        <v>179</v>
      </c>
      <c r="K477" t="s">
        <v>265</v>
      </c>
      <c r="R477">
        <v>230</v>
      </c>
      <c r="S477" t="s">
        <v>509</v>
      </c>
      <c r="T477" t="s">
        <v>181</v>
      </c>
      <c r="U477" t="s">
        <v>271</v>
      </c>
    </row>
    <row r="478" spans="8:21" x14ac:dyDescent="0.25">
      <c r="H478">
        <v>461</v>
      </c>
      <c r="I478" t="s">
        <v>722</v>
      </c>
      <c r="J478" t="s">
        <v>179</v>
      </c>
      <c r="K478" t="s">
        <v>265</v>
      </c>
      <c r="R478">
        <v>230</v>
      </c>
      <c r="S478" t="s">
        <v>509</v>
      </c>
      <c r="T478" t="s">
        <v>181</v>
      </c>
      <c r="U478" t="s">
        <v>271</v>
      </c>
    </row>
    <row r="479" spans="8:21" x14ac:dyDescent="0.25">
      <c r="H479">
        <v>453</v>
      </c>
      <c r="I479" t="s">
        <v>325</v>
      </c>
      <c r="J479" t="s">
        <v>179</v>
      </c>
      <c r="K479" t="s">
        <v>265</v>
      </c>
      <c r="R479">
        <v>243</v>
      </c>
      <c r="S479" t="s">
        <v>560</v>
      </c>
      <c r="T479" t="s">
        <v>179</v>
      </c>
      <c r="U479" t="s">
        <v>271</v>
      </c>
    </row>
    <row r="480" spans="8:21" x14ac:dyDescent="0.25">
      <c r="H480">
        <v>462</v>
      </c>
      <c r="I480" t="s">
        <v>723</v>
      </c>
      <c r="J480" t="s">
        <v>179</v>
      </c>
      <c r="K480" t="s">
        <v>265</v>
      </c>
      <c r="R480">
        <v>243</v>
      </c>
      <c r="S480" t="s">
        <v>560</v>
      </c>
      <c r="T480" t="s">
        <v>179</v>
      </c>
      <c r="U480" t="s">
        <v>271</v>
      </c>
    </row>
    <row r="481" spans="8:21" x14ac:dyDescent="0.25">
      <c r="H481">
        <v>463</v>
      </c>
      <c r="I481" t="s">
        <v>724</v>
      </c>
      <c r="J481" t="s">
        <v>179</v>
      </c>
      <c r="K481" t="s">
        <v>265</v>
      </c>
      <c r="R481">
        <v>239</v>
      </c>
      <c r="S481" t="s">
        <v>539</v>
      </c>
      <c r="T481" t="s">
        <v>179</v>
      </c>
      <c r="U481" t="s">
        <v>271</v>
      </c>
    </row>
    <row r="482" spans="8:21" x14ac:dyDescent="0.25">
      <c r="H482">
        <v>458</v>
      </c>
      <c r="I482" t="s">
        <v>340</v>
      </c>
      <c r="J482" t="s">
        <v>179</v>
      </c>
      <c r="K482" t="s">
        <v>265</v>
      </c>
      <c r="R482">
        <v>239</v>
      </c>
      <c r="S482" t="s">
        <v>539</v>
      </c>
      <c r="T482" t="s">
        <v>179</v>
      </c>
      <c r="U482" t="s">
        <v>271</v>
      </c>
    </row>
    <row r="483" spans="8:21" x14ac:dyDescent="0.25">
      <c r="H483">
        <v>119</v>
      </c>
      <c r="I483" t="s">
        <v>40</v>
      </c>
      <c r="J483" t="s">
        <v>179</v>
      </c>
      <c r="K483" t="s">
        <v>265</v>
      </c>
      <c r="R483">
        <v>228</v>
      </c>
      <c r="S483" t="s">
        <v>319</v>
      </c>
      <c r="T483" t="s">
        <v>181</v>
      </c>
      <c r="U483" t="s">
        <v>271</v>
      </c>
    </row>
    <row r="484" spans="8:21" x14ac:dyDescent="0.25">
      <c r="H484">
        <v>464</v>
      </c>
      <c r="I484" t="s">
        <v>725</v>
      </c>
      <c r="J484" t="s">
        <v>179</v>
      </c>
      <c r="K484" t="s">
        <v>265</v>
      </c>
      <c r="R484">
        <v>228</v>
      </c>
      <c r="S484" t="s">
        <v>319</v>
      </c>
      <c r="T484" t="s">
        <v>181</v>
      </c>
      <c r="U484" t="s">
        <v>271</v>
      </c>
    </row>
    <row r="485" spans="8:21" x14ac:dyDescent="0.25">
      <c r="H485">
        <v>455</v>
      </c>
      <c r="I485" t="s">
        <v>9</v>
      </c>
      <c r="J485" t="s">
        <v>179</v>
      </c>
      <c r="K485" t="s">
        <v>265</v>
      </c>
      <c r="R485">
        <v>672</v>
      </c>
      <c r="S485" t="s">
        <v>599</v>
      </c>
      <c r="T485" t="s">
        <v>181</v>
      </c>
      <c r="U485" t="s">
        <v>271</v>
      </c>
    </row>
    <row r="486" spans="8:21" x14ac:dyDescent="0.25">
      <c r="H486">
        <v>451</v>
      </c>
      <c r="I486" t="s">
        <v>24</v>
      </c>
      <c r="J486" t="s">
        <v>179</v>
      </c>
      <c r="K486" t="s">
        <v>265</v>
      </c>
      <c r="R486">
        <v>672</v>
      </c>
      <c r="S486" t="s">
        <v>599</v>
      </c>
      <c r="T486" t="s">
        <v>181</v>
      </c>
      <c r="U486" t="s">
        <v>271</v>
      </c>
    </row>
    <row r="487" spans="8:21" x14ac:dyDescent="0.25">
      <c r="H487">
        <v>456</v>
      </c>
      <c r="I487" t="s">
        <v>18</v>
      </c>
      <c r="J487" t="s">
        <v>179</v>
      </c>
      <c r="K487" t="s">
        <v>265</v>
      </c>
      <c r="R487">
        <v>225</v>
      </c>
      <c r="S487" t="s">
        <v>4</v>
      </c>
      <c r="T487" t="s">
        <v>181</v>
      </c>
      <c r="U487" t="s">
        <v>271</v>
      </c>
    </row>
    <row r="488" spans="8:21" x14ac:dyDescent="0.25">
      <c r="H488">
        <v>459</v>
      </c>
      <c r="I488" t="s">
        <v>726</v>
      </c>
      <c r="J488" t="s">
        <v>179</v>
      </c>
      <c r="K488" t="s">
        <v>265</v>
      </c>
      <c r="R488">
        <v>225</v>
      </c>
      <c r="S488" t="s">
        <v>4</v>
      </c>
      <c r="T488" t="s">
        <v>181</v>
      </c>
      <c r="U488" t="s">
        <v>271</v>
      </c>
    </row>
    <row r="489" spans="8:21" x14ac:dyDescent="0.25">
      <c r="H489">
        <v>481</v>
      </c>
      <c r="I489" t="s">
        <v>454</v>
      </c>
      <c r="J489" t="s">
        <v>181</v>
      </c>
      <c r="K489" t="s">
        <v>267</v>
      </c>
      <c r="R489">
        <v>249</v>
      </c>
      <c r="S489" t="s">
        <v>353</v>
      </c>
      <c r="T489" t="s">
        <v>178</v>
      </c>
      <c r="U489" t="s">
        <v>271</v>
      </c>
    </row>
    <row r="490" spans="8:21" x14ac:dyDescent="0.25">
      <c r="H490">
        <v>482</v>
      </c>
      <c r="I490" t="s">
        <v>727</v>
      </c>
      <c r="J490" t="s">
        <v>181</v>
      </c>
      <c r="K490" t="s">
        <v>267</v>
      </c>
      <c r="R490">
        <v>221</v>
      </c>
      <c r="S490" t="s">
        <v>497</v>
      </c>
      <c r="T490" t="s">
        <v>258</v>
      </c>
      <c r="U490" t="s">
        <v>271</v>
      </c>
    </row>
    <row r="491" spans="8:21" x14ac:dyDescent="0.25">
      <c r="H491">
        <v>475</v>
      </c>
      <c r="I491" t="s">
        <v>77</v>
      </c>
      <c r="J491" t="s">
        <v>181</v>
      </c>
      <c r="K491" t="s">
        <v>267</v>
      </c>
      <c r="R491">
        <v>249</v>
      </c>
      <c r="S491" t="s">
        <v>541</v>
      </c>
      <c r="T491" t="s">
        <v>178</v>
      </c>
      <c r="U491" t="s">
        <v>271</v>
      </c>
    </row>
    <row r="492" spans="8:21" x14ac:dyDescent="0.25">
      <c r="H492">
        <v>476</v>
      </c>
      <c r="I492" t="s">
        <v>119</v>
      </c>
      <c r="J492" t="s">
        <v>181</v>
      </c>
      <c r="K492" t="s">
        <v>267</v>
      </c>
      <c r="R492">
        <v>221</v>
      </c>
      <c r="S492" t="s">
        <v>566</v>
      </c>
      <c r="T492" t="s">
        <v>258</v>
      </c>
      <c r="U492" t="s">
        <v>271</v>
      </c>
    </row>
    <row r="493" spans="8:21" x14ac:dyDescent="0.25">
      <c r="H493">
        <v>473</v>
      </c>
      <c r="I493" t="s">
        <v>320</v>
      </c>
      <c r="J493" t="s">
        <v>181</v>
      </c>
      <c r="K493" t="s">
        <v>267</v>
      </c>
      <c r="R493">
        <v>244</v>
      </c>
      <c r="S493" t="s">
        <v>418</v>
      </c>
      <c r="T493" t="s">
        <v>179</v>
      </c>
      <c r="U493" t="s">
        <v>271</v>
      </c>
    </row>
    <row r="494" spans="8:21" x14ac:dyDescent="0.25">
      <c r="H494">
        <v>479</v>
      </c>
      <c r="I494" t="s">
        <v>172</v>
      </c>
      <c r="J494" t="s">
        <v>181</v>
      </c>
      <c r="K494" t="s">
        <v>267</v>
      </c>
      <c r="R494">
        <v>244</v>
      </c>
      <c r="S494" t="s">
        <v>418</v>
      </c>
      <c r="T494" t="s">
        <v>179</v>
      </c>
      <c r="U494" t="s">
        <v>271</v>
      </c>
    </row>
    <row r="495" spans="8:21" x14ac:dyDescent="0.25">
      <c r="H495">
        <v>480</v>
      </c>
      <c r="I495" t="s">
        <v>150</v>
      </c>
      <c r="J495" t="s">
        <v>181</v>
      </c>
      <c r="K495" t="s">
        <v>267</v>
      </c>
      <c r="R495">
        <v>231</v>
      </c>
      <c r="S495" t="s">
        <v>322</v>
      </c>
      <c r="T495" t="s">
        <v>181</v>
      </c>
      <c r="U495" t="s">
        <v>271</v>
      </c>
    </row>
    <row r="496" spans="8:21" x14ac:dyDescent="0.25">
      <c r="H496">
        <v>477</v>
      </c>
      <c r="I496" t="s">
        <v>455</v>
      </c>
      <c r="J496" t="s">
        <v>181</v>
      </c>
      <c r="K496" t="s">
        <v>267</v>
      </c>
      <c r="R496">
        <v>231</v>
      </c>
      <c r="S496" t="s">
        <v>322</v>
      </c>
      <c r="T496" t="s">
        <v>181</v>
      </c>
      <c r="U496" t="s">
        <v>271</v>
      </c>
    </row>
    <row r="497" spans="8:21" x14ac:dyDescent="0.25">
      <c r="H497">
        <v>483</v>
      </c>
      <c r="I497" t="s">
        <v>456</v>
      </c>
      <c r="J497" t="s">
        <v>181</v>
      </c>
      <c r="K497" t="s">
        <v>267</v>
      </c>
      <c r="R497">
        <v>245</v>
      </c>
      <c r="S497" t="s">
        <v>297</v>
      </c>
      <c r="T497" t="s">
        <v>179</v>
      </c>
      <c r="U497" t="s">
        <v>271</v>
      </c>
    </row>
    <row r="498" spans="8:21" x14ac:dyDescent="0.25">
      <c r="H498">
        <v>474</v>
      </c>
      <c r="I498" t="s">
        <v>359</v>
      </c>
      <c r="J498" t="s">
        <v>181</v>
      </c>
      <c r="K498" t="s">
        <v>267</v>
      </c>
      <c r="R498">
        <v>245</v>
      </c>
      <c r="S498" t="s">
        <v>297</v>
      </c>
      <c r="T498" t="s">
        <v>179</v>
      </c>
      <c r="U498" t="s">
        <v>271</v>
      </c>
    </row>
    <row r="499" spans="8:21" x14ac:dyDescent="0.25">
      <c r="H499">
        <v>484</v>
      </c>
      <c r="I499" t="s">
        <v>79</v>
      </c>
      <c r="J499" t="s">
        <v>181</v>
      </c>
      <c r="K499" t="s">
        <v>267</v>
      </c>
      <c r="R499">
        <v>251</v>
      </c>
      <c r="S499" t="s">
        <v>281</v>
      </c>
      <c r="T499" t="s">
        <v>178</v>
      </c>
      <c r="U499" t="s">
        <v>271</v>
      </c>
    </row>
    <row r="500" spans="8:21" x14ac:dyDescent="0.25">
      <c r="H500">
        <v>478</v>
      </c>
      <c r="I500" t="s">
        <v>52</v>
      </c>
      <c r="J500" t="s">
        <v>181</v>
      </c>
      <c r="K500" t="s">
        <v>267</v>
      </c>
      <c r="R500">
        <v>251</v>
      </c>
      <c r="S500" t="s">
        <v>281</v>
      </c>
      <c r="T500" t="s">
        <v>178</v>
      </c>
      <c r="U500" t="s">
        <v>271</v>
      </c>
    </row>
    <row r="501" spans="8:21" x14ac:dyDescent="0.25">
      <c r="H501">
        <v>499</v>
      </c>
      <c r="I501" t="s">
        <v>286</v>
      </c>
      <c r="J501" t="s">
        <v>178</v>
      </c>
      <c r="K501" t="s">
        <v>267</v>
      </c>
      <c r="R501">
        <v>236</v>
      </c>
      <c r="S501" t="s">
        <v>15</v>
      </c>
      <c r="T501" t="s">
        <v>179</v>
      </c>
      <c r="U501" t="s">
        <v>271</v>
      </c>
    </row>
    <row r="502" spans="8:21" x14ac:dyDescent="0.25">
      <c r="H502">
        <v>501</v>
      </c>
      <c r="I502" t="s">
        <v>728</v>
      </c>
      <c r="J502" t="s">
        <v>178</v>
      </c>
      <c r="K502" t="s">
        <v>267</v>
      </c>
      <c r="R502">
        <v>236</v>
      </c>
      <c r="S502" t="s">
        <v>15</v>
      </c>
      <c r="T502" t="s">
        <v>179</v>
      </c>
      <c r="U502" t="s">
        <v>271</v>
      </c>
    </row>
    <row r="503" spans="8:21" x14ac:dyDescent="0.25">
      <c r="H503">
        <v>500</v>
      </c>
      <c r="I503" t="s">
        <v>500</v>
      </c>
      <c r="J503" t="s">
        <v>178</v>
      </c>
      <c r="K503" t="s">
        <v>267</v>
      </c>
      <c r="R503">
        <v>240</v>
      </c>
      <c r="S503" t="s">
        <v>274</v>
      </c>
      <c r="T503" t="s">
        <v>179</v>
      </c>
      <c r="U503" t="s">
        <v>271</v>
      </c>
    </row>
    <row r="504" spans="8:21" x14ac:dyDescent="0.25">
      <c r="H504">
        <v>471</v>
      </c>
      <c r="I504" t="s">
        <v>729</v>
      </c>
      <c r="J504" t="s">
        <v>258</v>
      </c>
      <c r="K504" t="s">
        <v>267</v>
      </c>
      <c r="R504">
        <v>240</v>
      </c>
      <c r="S504" t="s">
        <v>274</v>
      </c>
      <c r="T504" t="s">
        <v>179</v>
      </c>
      <c r="U504" t="s">
        <v>271</v>
      </c>
    </row>
    <row r="505" spans="8:21" x14ac:dyDescent="0.25">
      <c r="H505">
        <v>472</v>
      </c>
      <c r="I505" t="s">
        <v>457</v>
      </c>
      <c r="J505" t="s">
        <v>258</v>
      </c>
      <c r="K505" t="s">
        <v>267</v>
      </c>
      <c r="R505">
        <v>248</v>
      </c>
      <c r="S505" t="s">
        <v>516</v>
      </c>
      <c r="T505" t="s">
        <v>179</v>
      </c>
      <c r="U505" t="s">
        <v>271</v>
      </c>
    </row>
    <row r="506" spans="8:21" x14ac:dyDescent="0.25">
      <c r="H506">
        <v>469</v>
      </c>
      <c r="I506" t="s">
        <v>23</v>
      </c>
      <c r="J506" t="s">
        <v>258</v>
      </c>
      <c r="K506" t="s">
        <v>267</v>
      </c>
      <c r="R506">
        <v>248</v>
      </c>
      <c r="S506" t="s">
        <v>516</v>
      </c>
      <c r="T506" t="s">
        <v>179</v>
      </c>
      <c r="U506" t="s">
        <v>271</v>
      </c>
    </row>
    <row r="507" spans="8:21" x14ac:dyDescent="0.25">
      <c r="H507">
        <v>674</v>
      </c>
      <c r="I507" t="s">
        <v>14</v>
      </c>
      <c r="J507" t="s">
        <v>258</v>
      </c>
      <c r="K507" t="s">
        <v>267</v>
      </c>
      <c r="R507">
        <v>235</v>
      </c>
      <c r="S507" t="s">
        <v>158</v>
      </c>
      <c r="T507" t="s">
        <v>179</v>
      </c>
      <c r="U507" t="s">
        <v>271</v>
      </c>
    </row>
    <row r="508" spans="8:21" x14ac:dyDescent="0.25">
      <c r="H508">
        <v>492</v>
      </c>
      <c r="I508" t="s">
        <v>730</v>
      </c>
      <c r="J508" t="s">
        <v>179</v>
      </c>
      <c r="K508" t="s">
        <v>267</v>
      </c>
      <c r="R508">
        <v>235</v>
      </c>
      <c r="S508" t="s">
        <v>158</v>
      </c>
      <c r="T508" t="s">
        <v>179</v>
      </c>
      <c r="U508" t="s">
        <v>271</v>
      </c>
    </row>
    <row r="509" spans="8:21" x14ac:dyDescent="0.25">
      <c r="H509">
        <v>487</v>
      </c>
      <c r="I509" t="s">
        <v>380</v>
      </c>
      <c r="J509" t="s">
        <v>179</v>
      </c>
      <c r="K509" t="s">
        <v>267</v>
      </c>
      <c r="R509">
        <v>222</v>
      </c>
      <c r="S509" t="s">
        <v>520</v>
      </c>
      <c r="T509" t="s">
        <v>258</v>
      </c>
      <c r="U509" t="s">
        <v>271</v>
      </c>
    </row>
    <row r="510" spans="8:21" x14ac:dyDescent="0.25">
      <c r="H510">
        <v>488</v>
      </c>
      <c r="I510" t="s">
        <v>360</v>
      </c>
      <c r="J510" t="s">
        <v>179</v>
      </c>
      <c r="K510" t="s">
        <v>267</v>
      </c>
      <c r="R510">
        <v>222</v>
      </c>
      <c r="S510" t="s">
        <v>520</v>
      </c>
      <c r="T510" t="s">
        <v>258</v>
      </c>
      <c r="U510" t="s">
        <v>271</v>
      </c>
    </row>
    <row r="511" spans="8:21" x14ac:dyDescent="0.25">
      <c r="H511">
        <v>486</v>
      </c>
      <c r="I511" t="s">
        <v>99</v>
      </c>
      <c r="J511" t="s">
        <v>179</v>
      </c>
      <c r="K511" t="s">
        <v>267</v>
      </c>
      <c r="R511">
        <v>220</v>
      </c>
      <c r="S511" t="s">
        <v>29</v>
      </c>
      <c r="T511" t="s">
        <v>258</v>
      </c>
      <c r="U511" t="s">
        <v>271</v>
      </c>
    </row>
    <row r="512" spans="8:21" x14ac:dyDescent="0.25">
      <c r="H512">
        <v>485</v>
      </c>
      <c r="I512" t="s">
        <v>36</v>
      </c>
      <c r="J512" t="s">
        <v>179</v>
      </c>
      <c r="K512" t="s">
        <v>267</v>
      </c>
      <c r="R512">
        <v>223</v>
      </c>
      <c r="S512" t="s">
        <v>528</v>
      </c>
      <c r="T512" t="s">
        <v>258</v>
      </c>
      <c r="U512" t="s">
        <v>271</v>
      </c>
    </row>
    <row r="513" spans="8:21" x14ac:dyDescent="0.25">
      <c r="H513">
        <v>495</v>
      </c>
      <c r="I513" t="s">
        <v>342</v>
      </c>
      <c r="J513" t="s">
        <v>179</v>
      </c>
      <c r="K513" t="s">
        <v>267</v>
      </c>
      <c r="R513">
        <v>223</v>
      </c>
      <c r="S513" t="s">
        <v>528</v>
      </c>
      <c r="T513" t="s">
        <v>258</v>
      </c>
      <c r="U513" t="s">
        <v>271</v>
      </c>
    </row>
    <row r="514" spans="8:21" x14ac:dyDescent="0.25">
      <c r="H514">
        <v>489</v>
      </c>
      <c r="I514" t="s">
        <v>458</v>
      </c>
      <c r="J514" t="s">
        <v>179</v>
      </c>
      <c r="K514" t="s">
        <v>267</v>
      </c>
      <c r="R514">
        <v>220</v>
      </c>
      <c r="S514" t="s">
        <v>600</v>
      </c>
      <c r="T514" t="s">
        <v>258</v>
      </c>
      <c r="U514" t="s">
        <v>271</v>
      </c>
    </row>
    <row r="515" spans="8:21" x14ac:dyDescent="0.25">
      <c r="H515">
        <v>490</v>
      </c>
      <c r="I515" t="s">
        <v>60</v>
      </c>
      <c r="J515" t="s">
        <v>179</v>
      </c>
      <c r="K515" t="s">
        <v>267</v>
      </c>
      <c r="R515">
        <v>232</v>
      </c>
      <c r="S515" t="s">
        <v>98</v>
      </c>
      <c r="T515" t="s">
        <v>181</v>
      </c>
      <c r="U515" t="s">
        <v>271</v>
      </c>
    </row>
    <row r="516" spans="8:21" x14ac:dyDescent="0.25">
      <c r="H516">
        <v>496</v>
      </c>
      <c r="I516" t="s">
        <v>341</v>
      </c>
      <c r="J516" t="s">
        <v>179</v>
      </c>
      <c r="K516" t="s">
        <v>267</v>
      </c>
      <c r="R516">
        <v>232</v>
      </c>
      <c r="S516" t="s">
        <v>98</v>
      </c>
      <c r="T516" t="s">
        <v>181</v>
      </c>
      <c r="U516" t="s">
        <v>271</v>
      </c>
    </row>
    <row r="517" spans="8:21" x14ac:dyDescent="0.25">
      <c r="H517">
        <v>497</v>
      </c>
      <c r="I517" t="s">
        <v>731</v>
      </c>
      <c r="J517" t="s">
        <v>179</v>
      </c>
      <c r="K517" t="s">
        <v>267</v>
      </c>
      <c r="R517">
        <v>274</v>
      </c>
      <c r="S517" t="s">
        <v>591</v>
      </c>
      <c r="T517" t="s">
        <v>179</v>
      </c>
      <c r="U517" t="s">
        <v>275</v>
      </c>
    </row>
    <row r="518" spans="8:21" x14ac:dyDescent="0.25">
      <c r="H518">
        <v>491</v>
      </c>
      <c r="I518" t="s">
        <v>298</v>
      </c>
      <c r="J518" t="s">
        <v>179</v>
      </c>
      <c r="K518" t="s">
        <v>267</v>
      </c>
      <c r="R518">
        <v>274</v>
      </c>
      <c r="S518" t="s">
        <v>591</v>
      </c>
      <c r="T518" t="s">
        <v>179</v>
      </c>
      <c r="U518" t="s">
        <v>275</v>
      </c>
    </row>
    <row r="519" spans="8:21" x14ac:dyDescent="0.25">
      <c r="H519">
        <v>498</v>
      </c>
      <c r="I519" t="s">
        <v>47</v>
      </c>
      <c r="J519" t="s">
        <v>179</v>
      </c>
      <c r="K519" t="s">
        <v>267</v>
      </c>
      <c r="R519">
        <v>275</v>
      </c>
      <c r="S519" t="s">
        <v>324</v>
      </c>
      <c r="T519" t="s">
        <v>179</v>
      </c>
      <c r="U519" t="s">
        <v>275</v>
      </c>
    </row>
    <row r="520" spans="8:21" x14ac:dyDescent="0.25">
      <c r="H520">
        <v>494</v>
      </c>
      <c r="I520" t="s">
        <v>142</v>
      </c>
      <c r="J520" t="s">
        <v>179</v>
      </c>
      <c r="K520" t="s">
        <v>267</v>
      </c>
      <c r="R520">
        <v>275</v>
      </c>
      <c r="S520" t="s">
        <v>324</v>
      </c>
      <c r="T520" t="s">
        <v>179</v>
      </c>
      <c r="U520" t="s">
        <v>275</v>
      </c>
    </row>
    <row r="521" spans="8:21" x14ac:dyDescent="0.25">
      <c r="H521">
        <v>513</v>
      </c>
      <c r="I521" t="s">
        <v>732</v>
      </c>
      <c r="J521" t="s">
        <v>181</v>
      </c>
      <c r="K521" t="s">
        <v>362</v>
      </c>
      <c r="R521">
        <v>254</v>
      </c>
      <c r="S521" t="s">
        <v>563</v>
      </c>
      <c r="T521" t="s">
        <v>258</v>
      </c>
      <c r="U521" t="s">
        <v>275</v>
      </c>
    </row>
    <row r="522" spans="8:21" x14ac:dyDescent="0.25">
      <c r="H522">
        <v>507</v>
      </c>
      <c r="I522" t="s">
        <v>381</v>
      </c>
      <c r="J522" t="s">
        <v>181</v>
      </c>
      <c r="K522" t="s">
        <v>362</v>
      </c>
      <c r="R522">
        <v>254</v>
      </c>
      <c r="S522" t="s">
        <v>563</v>
      </c>
      <c r="T522" t="s">
        <v>258</v>
      </c>
      <c r="U522" t="s">
        <v>275</v>
      </c>
    </row>
    <row r="523" spans="8:21" x14ac:dyDescent="0.25">
      <c r="H523">
        <v>514</v>
      </c>
      <c r="I523" t="s">
        <v>59</v>
      </c>
      <c r="J523" t="s">
        <v>181</v>
      </c>
      <c r="K523" t="s">
        <v>362</v>
      </c>
      <c r="R523">
        <v>262</v>
      </c>
      <c r="S523" t="s">
        <v>420</v>
      </c>
      <c r="T523" t="s">
        <v>181</v>
      </c>
      <c r="U523" t="s">
        <v>275</v>
      </c>
    </row>
    <row r="524" spans="8:21" x14ac:dyDescent="0.25">
      <c r="H524">
        <v>509</v>
      </c>
      <c r="I524" t="s">
        <v>733</v>
      </c>
      <c r="J524" t="s">
        <v>181</v>
      </c>
      <c r="K524" t="s">
        <v>362</v>
      </c>
      <c r="R524">
        <v>262</v>
      </c>
      <c r="S524" t="s">
        <v>420</v>
      </c>
      <c r="T524" t="s">
        <v>181</v>
      </c>
      <c r="U524" t="s">
        <v>275</v>
      </c>
    </row>
    <row r="525" spans="8:21" x14ac:dyDescent="0.25">
      <c r="H525">
        <v>510</v>
      </c>
      <c r="I525" t="s">
        <v>734</v>
      </c>
      <c r="J525" t="s">
        <v>181</v>
      </c>
      <c r="K525" t="s">
        <v>362</v>
      </c>
      <c r="R525">
        <v>263</v>
      </c>
      <c r="S525" t="s">
        <v>111</v>
      </c>
      <c r="T525" t="s">
        <v>181</v>
      </c>
      <c r="U525" t="s">
        <v>275</v>
      </c>
    </row>
    <row r="526" spans="8:21" x14ac:dyDescent="0.25">
      <c r="H526">
        <v>505</v>
      </c>
      <c r="I526" t="s">
        <v>459</v>
      </c>
      <c r="J526" t="s">
        <v>181</v>
      </c>
      <c r="K526" t="s">
        <v>362</v>
      </c>
      <c r="R526">
        <v>263</v>
      </c>
      <c r="S526" t="s">
        <v>111</v>
      </c>
      <c r="T526" t="s">
        <v>181</v>
      </c>
      <c r="U526" t="s">
        <v>275</v>
      </c>
    </row>
    <row r="527" spans="8:21" x14ac:dyDescent="0.25">
      <c r="H527">
        <v>511</v>
      </c>
      <c r="I527" t="s">
        <v>735</v>
      </c>
      <c r="J527" t="s">
        <v>181</v>
      </c>
      <c r="K527" t="s">
        <v>362</v>
      </c>
      <c r="R527">
        <v>276</v>
      </c>
      <c r="S527" t="s">
        <v>589</v>
      </c>
      <c r="T527" t="s">
        <v>179</v>
      </c>
      <c r="U527" t="s">
        <v>275</v>
      </c>
    </row>
    <row r="528" spans="8:21" x14ac:dyDescent="0.25">
      <c r="H528">
        <v>506</v>
      </c>
      <c r="I528" t="s">
        <v>460</v>
      </c>
      <c r="J528" t="s">
        <v>181</v>
      </c>
      <c r="K528" t="s">
        <v>362</v>
      </c>
      <c r="R528">
        <v>276</v>
      </c>
      <c r="S528" t="s">
        <v>589</v>
      </c>
      <c r="T528" t="s">
        <v>179</v>
      </c>
      <c r="U528" t="s">
        <v>275</v>
      </c>
    </row>
    <row r="529" spans="8:21" x14ac:dyDescent="0.25">
      <c r="H529">
        <v>508</v>
      </c>
      <c r="I529" t="s">
        <v>461</v>
      </c>
      <c r="J529" t="s">
        <v>181</v>
      </c>
      <c r="K529" t="s">
        <v>362</v>
      </c>
      <c r="R529">
        <v>268</v>
      </c>
      <c r="S529" t="s">
        <v>659</v>
      </c>
      <c r="T529" t="s">
        <v>179</v>
      </c>
      <c r="U529" t="s">
        <v>275</v>
      </c>
    </row>
    <row r="530" spans="8:21" x14ac:dyDescent="0.25">
      <c r="H530">
        <v>512</v>
      </c>
      <c r="I530" t="s">
        <v>363</v>
      </c>
      <c r="J530" t="s">
        <v>181</v>
      </c>
      <c r="K530" t="s">
        <v>362</v>
      </c>
      <c r="R530">
        <v>268</v>
      </c>
      <c r="S530" t="s">
        <v>590</v>
      </c>
      <c r="T530" t="s">
        <v>179</v>
      </c>
      <c r="U530" t="s">
        <v>275</v>
      </c>
    </row>
    <row r="531" spans="8:21" x14ac:dyDescent="0.25">
      <c r="H531">
        <v>527</v>
      </c>
      <c r="I531" t="s">
        <v>37</v>
      </c>
      <c r="J531" t="s">
        <v>178</v>
      </c>
      <c r="K531" t="s">
        <v>362</v>
      </c>
      <c r="R531">
        <v>277</v>
      </c>
      <c r="S531" t="s">
        <v>155</v>
      </c>
      <c r="T531" t="s">
        <v>179</v>
      </c>
      <c r="U531" t="s">
        <v>275</v>
      </c>
    </row>
    <row r="532" spans="8:21" x14ac:dyDescent="0.25">
      <c r="H532">
        <v>526</v>
      </c>
      <c r="I532" t="s">
        <v>736</v>
      </c>
      <c r="J532" t="s">
        <v>178</v>
      </c>
      <c r="K532" t="s">
        <v>362</v>
      </c>
      <c r="R532">
        <v>277</v>
      </c>
      <c r="S532" t="s">
        <v>155</v>
      </c>
      <c r="T532" t="s">
        <v>179</v>
      </c>
      <c r="U532" t="s">
        <v>275</v>
      </c>
    </row>
    <row r="533" spans="8:21" x14ac:dyDescent="0.25">
      <c r="H533">
        <v>525</v>
      </c>
      <c r="I533" t="s">
        <v>116</v>
      </c>
      <c r="J533" t="s">
        <v>178</v>
      </c>
      <c r="K533" t="s">
        <v>362</v>
      </c>
      <c r="R533">
        <v>285</v>
      </c>
      <c r="S533" t="s">
        <v>100</v>
      </c>
      <c r="T533" t="s">
        <v>178</v>
      </c>
      <c r="U533" t="s">
        <v>275</v>
      </c>
    </row>
    <row r="534" spans="8:21" x14ac:dyDescent="0.25">
      <c r="H534">
        <v>503</v>
      </c>
      <c r="I534" t="s">
        <v>462</v>
      </c>
      <c r="J534" t="s">
        <v>258</v>
      </c>
      <c r="K534" t="s">
        <v>362</v>
      </c>
      <c r="R534">
        <v>269</v>
      </c>
      <c r="S534" t="s">
        <v>597</v>
      </c>
      <c r="T534" t="s">
        <v>179</v>
      </c>
      <c r="U534" t="s">
        <v>275</v>
      </c>
    </row>
    <row r="535" spans="8:21" x14ac:dyDescent="0.25">
      <c r="H535">
        <v>675</v>
      </c>
      <c r="I535" t="s">
        <v>805</v>
      </c>
      <c r="J535" t="s">
        <v>258</v>
      </c>
      <c r="K535" t="s">
        <v>362</v>
      </c>
      <c r="R535">
        <v>269</v>
      </c>
      <c r="S535" t="s">
        <v>597</v>
      </c>
      <c r="T535" t="s">
        <v>179</v>
      </c>
      <c r="U535" t="s">
        <v>275</v>
      </c>
    </row>
    <row r="536" spans="8:21" x14ac:dyDescent="0.25">
      <c r="H536">
        <v>502</v>
      </c>
      <c r="I536" t="s">
        <v>463</v>
      </c>
      <c r="J536" t="s">
        <v>258</v>
      </c>
      <c r="K536" t="s">
        <v>362</v>
      </c>
      <c r="R536">
        <v>266</v>
      </c>
      <c r="S536" t="s">
        <v>61</v>
      </c>
      <c r="T536" t="s">
        <v>179</v>
      </c>
      <c r="U536" t="s">
        <v>275</v>
      </c>
    </row>
    <row r="537" spans="8:21" x14ac:dyDescent="0.25">
      <c r="H537">
        <v>504</v>
      </c>
      <c r="I537" t="s">
        <v>176</v>
      </c>
      <c r="J537" t="s">
        <v>258</v>
      </c>
      <c r="K537" t="s">
        <v>362</v>
      </c>
      <c r="R537">
        <v>266</v>
      </c>
      <c r="S537" t="s">
        <v>61</v>
      </c>
      <c r="T537" t="s">
        <v>179</v>
      </c>
      <c r="U537" t="s">
        <v>275</v>
      </c>
    </row>
    <row r="538" spans="8:21" x14ac:dyDescent="0.25">
      <c r="H538">
        <v>517</v>
      </c>
      <c r="I538" t="s">
        <v>333</v>
      </c>
      <c r="J538" t="s">
        <v>179</v>
      </c>
      <c r="K538" t="s">
        <v>362</v>
      </c>
      <c r="R538">
        <v>260</v>
      </c>
      <c r="S538" t="s">
        <v>78</v>
      </c>
      <c r="T538" t="s">
        <v>181</v>
      </c>
      <c r="U538" t="s">
        <v>275</v>
      </c>
    </row>
    <row r="539" spans="8:21" x14ac:dyDescent="0.25">
      <c r="H539">
        <v>523</v>
      </c>
      <c r="I539" t="s">
        <v>464</v>
      </c>
      <c r="J539" t="s">
        <v>179</v>
      </c>
      <c r="K539" t="s">
        <v>362</v>
      </c>
      <c r="R539">
        <v>260</v>
      </c>
      <c r="S539" t="s">
        <v>604</v>
      </c>
      <c r="T539" t="s">
        <v>181</v>
      </c>
      <c r="U539" t="s">
        <v>275</v>
      </c>
    </row>
    <row r="540" spans="8:21" x14ac:dyDescent="0.25">
      <c r="H540">
        <v>519</v>
      </c>
      <c r="I540" t="s">
        <v>465</v>
      </c>
      <c r="J540" t="s">
        <v>179</v>
      </c>
      <c r="K540" t="s">
        <v>362</v>
      </c>
      <c r="R540">
        <v>253</v>
      </c>
      <c r="S540" t="s">
        <v>35</v>
      </c>
      <c r="T540" t="s">
        <v>258</v>
      </c>
      <c r="U540" t="s">
        <v>275</v>
      </c>
    </row>
    <row r="541" spans="8:21" x14ac:dyDescent="0.25">
      <c r="H541">
        <v>515</v>
      </c>
      <c r="I541" t="s">
        <v>153</v>
      </c>
      <c r="J541" t="s">
        <v>179</v>
      </c>
      <c r="K541" t="s">
        <v>362</v>
      </c>
      <c r="R541">
        <v>253</v>
      </c>
      <c r="S541" t="s">
        <v>35</v>
      </c>
      <c r="T541" t="s">
        <v>258</v>
      </c>
      <c r="U541" t="s">
        <v>275</v>
      </c>
    </row>
    <row r="542" spans="8:21" x14ac:dyDescent="0.25">
      <c r="H542">
        <v>516</v>
      </c>
      <c r="I542" t="s">
        <v>129</v>
      </c>
      <c r="J542" t="s">
        <v>179</v>
      </c>
      <c r="K542" t="s">
        <v>362</v>
      </c>
      <c r="R542">
        <v>264</v>
      </c>
      <c r="S542" t="s">
        <v>173</v>
      </c>
      <c r="T542" t="s">
        <v>181</v>
      </c>
      <c r="U542" t="s">
        <v>275</v>
      </c>
    </row>
    <row r="543" spans="8:21" x14ac:dyDescent="0.25">
      <c r="H543">
        <v>518</v>
      </c>
      <c r="I543" t="s">
        <v>737</v>
      </c>
      <c r="J543" t="s">
        <v>179</v>
      </c>
      <c r="K543" t="s">
        <v>362</v>
      </c>
      <c r="R543">
        <v>264</v>
      </c>
      <c r="S543" t="s">
        <v>173</v>
      </c>
      <c r="T543" t="s">
        <v>181</v>
      </c>
      <c r="U543" t="s">
        <v>275</v>
      </c>
    </row>
    <row r="544" spans="8:21" x14ac:dyDescent="0.25">
      <c r="H544">
        <v>669</v>
      </c>
      <c r="I544" t="s">
        <v>738</v>
      </c>
      <c r="J544" t="s">
        <v>179</v>
      </c>
      <c r="K544" t="s">
        <v>362</v>
      </c>
      <c r="R544">
        <v>270</v>
      </c>
      <c r="S544" t="s">
        <v>128</v>
      </c>
      <c r="T544" t="s">
        <v>179</v>
      </c>
      <c r="U544" t="s">
        <v>275</v>
      </c>
    </row>
    <row r="545" spans="8:21" x14ac:dyDescent="0.25">
      <c r="H545">
        <v>520</v>
      </c>
      <c r="I545" t="s">
        <v>157</v>
      </c>
      <c r="J545" t="s">
        <v>179</v>
      </c>
      <c r="K545" t="s">
        <v>362</v>
      </c>
      <c r="R545">
        <v>270</v>
      </c>
      <c r="S545" t="s">
        <v>128</v>
      </c>
      <c r="T545" t="s">
        <v>179</v>
      </c>
      <c r="U545" t="s">
        <v>275</v>
      </c>
    </row>
    <row r="546" spans="8:21" x14ac:dyDescent="0.25">
      <c r="H546">
        <v>521</v>
      </c>
      <c r="I546" t="s">
        <v>466</v>
      </c>
      <c r="J546" t="s">
        <v>179</v>
      </c>
      <c r="K546" t="s">
        <v>362</v>
      </c>
      <c r="R546">
        <v>278</v>
      </c>
      <c r="S546" t="s">
        <v>598</v>
      </c>
      <c r="T546" t="s">
        <v>179</v>
      </c>
      <c r="U546" t="s">
        <v>275</v>
      </c>
    </row>
    <row r="547" spans="8:21" x14ac:dyDescent="0.25">
      <c r="H547">
        <v>524</v>
      </c>
      <c r="I547" t="s">
        <v>739</v>
      </c>
      <c r="J547" t="s">
        <v>179</v>
      </c>
      <c r="K547" t="s">
        <v>362</v>
      </c>
      <c r="R547">
        <v>278</v>
      </c>
      <c r="S547" t="s">
        <v>598</v>
      </c>
      <c r="T547" t="s">
        <v>179</v>
      </c>
      <c r="U547" t="s">
        <v>275</v>
      </c>
    </row>
    <row r="548" spans="8:21" x14ac:dyDescent="0.25">
      <c r="H548">
        <v>522</v>
      </c>
      <c r="I548" t="s">
        <v>112</v>
      </c>
      <c r="J548" t="s">
        <v>179</v>
      </c>
      <c r="K548" t="s">
        <v>362</v>
      </c>
      <c r="R548">
        <v>271</v>
      </c>
      <c r="S548" t="s">
        <v>422</v>
      </c>
      <c r="T548" t="s">
        <v>179</v>
      </c>
      <c r="U548" t="s">
        <v>275</v>
      </c>
    </row>
    <row r="549" spans="8:21" x14ac:dyDescent="0.25">
      <c r="H549">
        <v>570</v>
      </c>
      <c r="I549" t="s">
        <v>740</v>
      </c>
      <c r="J549" t="s">
        <v>181</v>
      </c>
      <c r="K549" t="s">
        <v>364</v>
      </c>
      <c r="R549">
        <v>271</v>
      </c>
      <c r="S549" t="s">
        <v>422</v>
      </c>
      <c r="T549" t="s">
        <v>179</v>
      </c>
      <c r="U549" t="s">
        <v>275</v>
      </c>
    </row>
    <row r="550" spans="8:21" x14ac:dyDescent="0.25">
      <c r="H550">
        <v>571</v>
      </c>
      <c r="I550" t="s">
        <v>137</v>
      </c>
      <c r="J550" t="s">
        <v>181</v>
      </c>
      <c r="K550" t="s">
        <v>364</v>
      </c>
      <c r="R550">
        <v>265</v>
      </c>
      <c r="S550" t="s">
        <v>592</v>
      </c>
      <c r="T550" t="s">
        <v>181</v>
      </c>
      <c r="U550" t="s">
        <v>275</v>
      </c>
    </row>
    <row r="551" spans="8:21" x14ac:dyDescent="0.25">
      <c r="H551">
        <v>572</v>
      </c>
      <c r="I551" t="s">
        <v>472</v>
      </c>
      <c r="J551" t="s">
        <v>181</v>
      </c>
      <c r="K551" t="s">
        <v>364</v>
      </c>
      <c r="R551">
        <v>265</v>
      </c>
      <c r="S551" t="s">
        <v>592</v>
      </c>
      <c r="T551" t="s">
        <v>181</v>
      </c>
      <c r="U551" t="s">
        <v>275</v>
      </c>
    </row>
    <row r="552" spans="8:21" x14ac:dyDescent="0.25">
      <c r="H552">
        <v>568</v>
      </c>
      <c r="I552" t="s">
        <v>348</v>
      </c>
      <c r="J552" t="s">
        <v>181</v>
      </c>
      <c r="K552" t="s">
        <v>364</v>
      </c>
      <c r="R552">
        <v>257</v>
      </c>
      <c r="S552" t="s">
        <v>523</v>
      </c>
      <c r="T552" t="s">
        <v>181</v>
      </c>
      <c r="U552" t="s">
        <v>275</v>
      </c>
    </row>
    <row r="553" spans="8:21" x14ac:dyDescent="0.25">
      <c r="H553">
        <v>576</v>
      </c>
      <c r="I553" t="s">
        <v>122</v>
      </c>
      <c r="J553" t="s">
        <v>181</v>
      </c>
      <c r="K553" t="s">
        <v>364</v>
      </c>
      <c r="R553">
        <v>257</v>
      </c>
      <c r="S553" t="s">
        <v>523</v>
      </c>
      <c r="T553" t="s">
        <v>181</v>
      </c>
      <c r="U553" t="s">
        <v>275</v>
      </c>
    </row>
    <row r="554" spans="8:21" x14ac:dyDescent="0.25">
      <c r="H554">
        <v>569</v>
      </c>
      <c r="I554" t="s">
        <v>33</v>
      </c>
      <c r="J554" t="s">
        <v>181</v>
      </c>
      <c r="K554" t="s">
        <v>364</v>
      </c>
      <c r="R554">
        <v>272</v>
      </c>
      <c r="S554" t="s">
        <v>133</v>
      </c>
      <c r="T554" t="s">
        <v>179</v>
      </c>
      <c r="U554" t="s">
        <v>275</v>
      </c>
    </row>
    <row r="555" spans="8:21" x14ac:dyDescent="0.25">
      <c r="H555">
        <v>573</v>
      </c>
      <c r="I555" t="s">
        <v>131</v>
      </c>
      <c r="J555" t="s">
        <v>181</v>
      </c>
      <c r="K555" t="s">
        <v>364</v>
      </c>
      <c r="R555">
        <v>272</v>
      </c>
      <c r="S555" t="s">
        <v>133</v>
      </c>
      <c r="T555" t="s">
        <v>179</v>
      </c>
      <c r="U555" t="s">
        <v>275</v>
      </c>
    </row>
    <row r="556" spans="8:21" x14ac:dyDescent="0.25">
      <c r="H556">
        <v>577</v>
      </c>
      <c r="I556" t="s">
        <v>741</v>
      </c>
      <c r="J556" t="s">
        <v>181</v>
      </c>
      <c r="K556" t="s">
        <v>364</v>
      </c>
      <c r="R556">
        <v>279</v>
      </c>
      <c r="S556" t="s">
        <v>423</v>
      </c>
      <c r="T556" t="s">
        <v>179</v>
      </c>
      <c r="U556" t="s">
        <v>275</v>
      </c>
    </row>
    <row r="557" spans="8:21" x14ac:dyDescent="0.25">
      <c r="H557">
        <v>574</v>
      </c>
      <c r="I557" t="s">
        <v>351</v>
      </c>
      <c r="J557" t="s">
        <v>181</v>
      </c>
      <c r="K557" t="s">
        <v>364</v>
      </c>
      <c r="R557">
        <v>279</v>
      </c>
      <c r="S557" t="s">
        <v>595</v>
      </c>
      <c r="T557" t="s">
        <v>179</v>
      </c>
      <c r="U557" t="s">
        <v>275</v>
      </c>
    </row>
    <row r="558" spans="8:21" x14ac:dyDescent="0.25">
      <c r="H558">
        <v>575</v>
      </c>
      <c r="I558" t="s">
        <v>473</v>
      </c>
      <c r="J558" t="s">
        <v>181</v>
      </c>
      <c r="K558" t="s">
        <v>364</v>
      </c>
      <c r="R558">
        <v>286</v>
      </c>
      <c r="S558" t="s">
        <v>611</v>
      </c>
      <c r="T558" t="s">
        <v>178</v>
      </c>
      <c r="U558" t="s">
        <v>275</v>
      </c>
    </row>
    <row r="559" spans="8:21" x14ac:dyDescent="0.25">
      <c r="H559">
        <v>578</v>
      </c>
      <c r="I559" t="s">
        <v>742</v>
      </c>
      <c r="J559" t="s">
        <v>181</v>
      </c>
      <c r="K559" t="s">
        <v>364</v>
      </c>
      <c r="R559">
        <v>286</v>
      </c>
      <c r="S559" t="s">
        <v>611</v>
      </c>
      <c r="T559" t="s">
        <v>178</v>
      </c>
      <c r="U559" t="s">
        <v>275</v>
      </c>
    </row>
    <row r="560" spans="8:21" x14ac:dyDescent="0.25">
      <c r="H560">
        <v>598</v>
      </c>
      <c r="I560" t="s">
        <v>743</v>
      </c>
      <c r="J560" t="s">
        <v>178</v>
      </c>
      <c r="K560" t="s">
        <v>364</v>
      </c>
      <c r="R560">
        <v>283</v>
      </c>
      <c r="S560" t="s">
        <v>56</v>
      </c>
      <c r="T560" t="s">
        <v>178</v>
      </c>
      <c r="U560" t="s">
        <v>275</v>
      </c>
    </row>
    <row r="561" spans="8:21" x14ac:dyDescent="0.25">
      <c r="H561">
        <v>597</v>
      </c>
      <c r="I561" t="s">
        <v>92</v>
      </c>
      <c r="J561" t="s">
        <v>178</v>
      </c>
      <c r="K561" t="s">
        <v>364</v>
      </c>
      <c r="R561">
        <v>283</v>
      </c>
      <c r="S561" t="s">
        <v>56</v>
      </c>
      <c r="T561" t="s">
        <v>178</v>
      </c>
      <c r="U561" t="s">
        <v>275</v>
      </c>
    </row>
    <row r="562" spans="8:21" x14ac:dyDescent="0.25">
      <c r="H562">
        <v>599</v>
      </c>
      <c r="I562" t="s">
        <v>474</v>
      </c>
      <c r="J562" t="s">
        <v>178</v>
      </c>
      <c r="K562" t="s">
        <v>364</v>
      </c>
      <c r="R562">
        <v>255</v>
      </c>
      <c r="S562" t="s">
        <v>174</v>
      </c>
      <c r="T562" t="s">
        <v>258</v>
      </c>
      <c r="U562" t="s">
        <v>275</v>
      </c>
    </row>
    <row r="563" spans="8:21" x14ac:dyDescent="0.25">
      <c r="H563">
        <v>596</v>
      </c>
      <c r="I563" t="s">
        <v>41</v>
      </c>
      <c r="J563" t="s">
        <v>178</v>
      </c>
      <c r="K563" t="s">
        <v>364</v>
      </c>
      <c r="R563">
        <v>255</v>
      </c>
      <c r="S563" t="s">
        <v>174</v>
      </c>
      <c r="T563" t="s">
        <v>258</v>
      </c>
      <c r="U563" t="s">
        <v>275</v>
      </c>
    </row>
    <row r="564" spans="8:21" x14ac:dyDescent="0.25">
      <c r="H564">
        <v>566</v>
      </c>
      <c r="I564" t="s">
        <v>175</v>
      </c>
      <c r="J564" t="s">
        <v>258</v>
      </c>
      <c r="K564" t="s">
        <v>364</v>
      </c>
      <c r="R564">
        <v>258</v>
      </c>
      <c r="S564" t="s">
        <v>83</v>
      </c>
      <c r="T564" t="s">
        <v>181</v>
      </c>
      <c r="U564" t="s">
        <v>275</v>
      </c>
    </row>
    <row r="565" spans="8:21" x14ac:dyDescent="0.25">
      <c r="H565">
        <v>567</v>
      </c>
      <c r="I565" t="s">
        <v>744</v>
      </c>
      <c r="J565" t="s">
        <v>258</v>
      </c>
      <c r="K565" t="s">
        <v>364</v>
      </c>
      <c r="R565">
        <v>258</v>
      </c>
      <c r="S565" t="s">
        <v>83</v>
      </c>
      <c r="T565" t="s">
        <v>181</v>
      </c>
      <c r="U565" t="s">
        <v>275</v>
      </c>
    </row>
    <row r="566" spans="8:21" x14ac:dyDescent="0.25">
      <c r="H566">
        <v>565</v>
      </c>
      <c r="I566" t="s">
        <v>347</v>
      </c>
      <c r="J566" t="s">
        <v>258</v>
      </c>
      <c r="K566" t="s">
        <v>364</v>
      </c>
      <c r="R566">
        <v>256</v>
      </c>
      <c r="S566" t="s">
        <v>421</v>
      </c>
      <c r="T566" t="s">
        <v>181</v>
      </c>
      <c r="U566" t="s">
        <v>275</v>
      </c>
    </row>
    <row r="567" spans="8:21" x14ac:dyDescent="0.25">
      <c r="H567">
        <v>585</v>
      </c>
      <c r="I567" t="s">
        <v>53</v>
      </c>
      <c r="J567" t="s">
        <v>179</v>
      </c>
      <c r="K567" t="s">
        <v>364</v>
      </c>
      <c r="R567">
        <v>256</v>
      </c>
      <c r="S567" t="s">
        <v>594</v>
      </c>
      <c r="T567" t="s">
        <v>181</v>
      </c>
      <c r="U567" t="s">
        <v>275</v>
      </c>
    </row>
    <row r="568" spans="8:21" x14ac:dyDescent="0.25">
      <c r="H568">
        <v>586</v>
      </c>
      <c r="I568" t="s">
        <v>475</v>
      </c>
      <c r="J568" t="s">
        <v>179</v>
      </c>
      <c r="K568" t="s">
        <v>364</v>
      </c>
      <c r="R568">
        <v>284</v>
      </c>
      <c r="S568" t="s">
        <v>125</v>
      </c>
      <c r="T568" t="s">
        <v>178</v>
      </c>
      <c r="U568" t="s">
        <v>275</v>
      </c>
    </row>
    <row r="569" spans="8:21" x14ac:dyDescent="0.25">
      <c r="H569">
        <v>587</v>
      </c>
      <c r="I569" t="s">
        <v>104</v>
      </c>
      <c r="J569" t="s">
        <v>179</v>
      </c>
      <c r="K569" t="s">
        <v>364</v>
      </c>
      <c r="R569">
        <v>284</v>
      </c>
      <c r="S569" t="s">
        <v>125</v>
      </c>
      <c r="T569" t="s">
        <v>178</v>
      </c>
      <c r="U569" t="s">
        <v>275</v>
      </c>
    </row>
    <row r="570" spans="8:21" x14ac:dyDescent="0.25">
      <c r="H570">
        <v>590</v>
      </c>
      <c r="I570" t="s">
        <v>114</v>
      </c>
      <c r="J570" t="s">
        <v>179</v>
      </c>
      <c r="K570" t="s">
        <v>364</v>
      </c>
      <c r="R570">
        <v>280</v>
      </c>
      <c r="S570" t="s">
        <v>424</v>
      </c>
      <c r="T570" t="s">
        <v>179</v>
      </c>
      <c r="U570" t="s">
        <v>275</v>
      </c>
    </row>
    <row r="571" spans="8:21" x14ac:dyDescent="0.25">
      <c r="H571">
        <v>591</v>
      </c>
      <c r="I571" t="s">
        <v>34</v>
      </c>
      <c r="J571" t="s">
        <v>179</v>
      </c>
      <c r="K571" t="s">
        <v>364</v>
      </c>
      <c r="R571">
        <v>280</v>
      </c>
      <c r="S571" t="s">
        <v>424</v>
      </c>
      <c r="T571" t="s">
        <v>179</v>
      </c>
      <c r="U571" t="s">
        <v>275</v>
      </c>
    </row>
    <row r="572" spans="8:21" x14ac:dyDescent="0.25">
      <c r="H572">
        <v>673</v>
      </c>
      <c r="I572" t="s">
        <v>745</v>
      </c>
      <c r="J572" t="s">
        <v>179</v>
      </c>
      <c r="K572" t="s">
        <v>364</v>
      </c>
      <c r="R572">
        <v>261</v>
      </c>
      <c r="S572" t="s">
        <v>593</v>
      </c>
      <c r="T572" t="s">
        <v>181</v>
      </c>
      <c r="U572" t="s">
        <v>275</v>
      </c>
    </row>
    <row r="573" spans="8:21" x14ac:dyDescent="0.25">
      <c r="H573">
        <v>580</v>
      </c>
      <c r="I573" t="s">
        <v>38</v>
      </c>
      <c r="J573" t="s">
        <v>179</v>
      </c>
      <c r="K573" t="s">
        <v>364</v>
      </c>
      <c r="R573">
        <v>261</v>
      </c>
      <c r="S573" t="s">
        <v>593</v>
      </c>
      <c r="T573" t="s">
        <v>181</v>
      </c>
      <c r="U573" t="s">
        <v>275</v>
      </c>
    </row>
    <row r="574" spans="8:21" x14ac:dyDescent="0.25">
      <c r="H574">
        <v>582</v>
      </c>
      <c r="I574" t="s">
        <v>479</v>
      </c>
      <c r="J574" t="s">
        <v>179</v>
      </c>
      <c r="K574" t="s">
        <v>364</v>
      </c>
      <c r="R574">
        <v>281</v>
      </c>
      <c r="S574" t="s">
        <v>596</v>
      </c>
      <c r="T574" t="s">
        <v>179</v>
      </c>
      <c r="U574" t="s">
        <v>275</v>
      </c>
    </row>
    <row r="575" spans="8:21" x14ac:dyDescent="0.25">
      <c r="H575">
        <v>583</v>
      </c>
      <c r="I575" t="s">
        <v>6</v>
      </c>
      <c r="J575" t="s">
        <v>179</v>
      </c>
      <c r="K575" t="s">
        <v>364</v>
      </c>
      <c r="R575">
        <v>281</v>
      </c>
      <c r="S575" t="s">
        <v>596</v>
      </c>
      <c r="T575" t="s">
        <v>179</v>
      </c>
      <c r="U575" t="s">
        <v>275</v>
      </c>
    </row>
    <row r="576" spans="8:21" x14ac:dyDescent="0.25">
      <c r="H576">
        <v>581</v>
      </c>
      <c r="I576" t="s">
        <v>17</v>
      </c>
      <c r="J576" t="s">
        <v>179</v>
      </c>
      <c r="K576" t="s">
        <v>364</v>
      </c>
      <c r="R576">
        <v>267</v>
      </c>
      <c r="S576" t="s">
        <v>140</v>
      </c>
      <c r="T576" t="s">
        <v>179</v>
      </c>
      <c r="U576" t="s">
        <v>275</v>
      </c>
    </row>
    <row r="577" spans="8:21" x14ac:dyDescent="0.25">
      <c r="H577">
        <v>594</v>
      </c>
      <c r="I577" t="s">
        <v>746</v>
      </c>
      <c r="J577" t="s">
        <v>179</v>
      </c>
      <c r="K577" t="s">
        <v>364</v>
      </c>
      <c r="R577">
        <v>267</v>
      </c>
      <c r="S577" t="s">
        <v>140</v>
      </c>
      <c r="T577" t="s">
        <v>179</v>
      </c>
      <c r="U577" t="s">
        <v>275</v>
      </c>
    </row>
    <row r="578" spans="8:21" x14ac:dyDescent="0.25">
      <c r="H578">
        <v>592</v>
      </c>
      <c r="I578" t="s">
        <v>747</v>
      </c>
      <c r="J578" t="s">
        <v>179</v>
      </c>
      <c r="K578" t="s">
        <v>364</v>
      </c>
      <c r="R578">
        <v>259</v>
      </c>
      <c r="S578" t="s">
        <v>537</v>
      </c>
      <c r="T578" t="s">
        <v>181</v>
      </c>
      <c r="U578" t="s">
        <v>275</v>
      </c>
    </row>
    <row r="579" spans="8:21" x14ac:dyDescent="0.25">
      <c r="H579">
        <v>588</v>
      </c>
      <c r="I579" t="s">
        <v>748</v>
      </c>
      <c r="J579" t="s">
        <v>179</v>
      </c>
      <c r="K579" t="s">
        <v>364</v>
      </c>
      <c r="R579">
        <v>259</v>
      </c>
      <c r="S579" t="s">
        <v>537</v>
      </c>
      <c r="T579" t="s">
        <v>181</v>
      </c>
      <c r="U579" t="s">
        <v>275</v>
      </c>
    </row>
    <row r="580" spans="8:21" x14ac:dyDescent="0.25">
      <c r="H580">
        <v>595</v>
      </c>
      <c r="I580" t="s">
        <v>749</v>
      </c>
      <c r="J580" t="s">
        <v>179</v>
      </c>
      <c r="K580" t="s">
        <v>364</v>
      </c>
      <c r="R580">
        <v>282</v>
      </c>
      <c r="S580" t="s">
        <v>612</v>
      </c>
      <c r="T580" t="s">
        <v>179</v>
      </c>
      <c r="U580" t="s">
        <v>275</v>
      </c>
    </row>
    <row r="581" spans="8:21" x14ac:dyDescent="0.25">
      <c r="H581">
        <v>593</v>
      </c>
      <c r="I581" t="s">
        <v>750</v>
      </c>
      <c r="J581" t="s">
        <v>179</v>
      </c>
      <c r="K581" t="s">
        <v>364</v>
      </c>
      <c r="R581">
        <v>282</v>
      </c>
      <c r="S581" t="s">
        <v>612</v>
      </c>
      <c r="T581" t="s">
        <v>179</v>
      </c>
      <c r="U581" t="s">
        <v>275</v>
      </c>
    </row>
    <row r="582" spans="8:21" x14ac:dyDescent="0.25">
      <c r="H582">
        <v>589</v>
      </c>
      <c r="I582" t="s">
        <v>355</v>
      </c>
      <c r="J582" t="s">
        <v>179</v>
      </c>
      <c r="K582" t="s">
        <v>364</v>
      </c>
      <c r="R582">
        <v>273</v>
      </c>
      <c r="S582" t="s">
        <v>425</v>
      </c>
      <c r="T582" t="s">
        <v>179</v>
      </c>
      <c r="U582" t="s">
        <v>275</v>
      </c>
    </row>
    <row r="583" spans="8:21" x14ac:dyDescent="0.25">
      <c r="H583">
        <v>579</v>
      </c>
      <c r="I583" t="s">
        <v>2</v>
      </c>
      <c r="J583" t="s">
        <v>179</v>
      </c>
      <c r="K583" t="s">
        <v>364</v>
      </c>
      <c r="R583">
        <v>273</v>
      </c>
      <c r="S583" t="s">
        <v>425</v>
      </c>
      <c r="T583" t="s">
        <v>179</v>
      </c>
      <c r="U583" t="s">
        <v>275</v>
      </c>
    </row>
    <row r="584" spans="8:21" x14ac:dyDescent="0.25">
      <c r="H584">
        <v>584</v>
      </c>
      <c r="I584" t="s">
        <v>751</v>
      </c>
      <c r="J584" t="s">
        <v>179</v>
      </c>
      <c r="K584" t="s">
        <v>364</v>
      </c>
      <c r="R584">
        <v>285</v>
      </c>
      <c r="S584" t="s">
        <v>613</v>
      </c>
      <c r="T584" t="s">
        <v>178</v>
      </c>
      <c r="U584" t="s">
        <v>275</v>
      </c>
    </row>
    <row r="585" spans="8:21" x14ac:dyDescent="0.25">
      <c r="H585">
        <v>533</v>
      </c>
      <c r="I585" t="s">
        <v>752</v>
      </c>
      <c r="J585" t="s">
        <v>181</v>
      </c>
      <c r="K585" t="s">
        <v>753</v>
      </c>
      <c r="R585">
        <v>301</v>
      </c>
      <c r="S585" t="s">
        <v>470</v>
      </c>
      <c r="T585" t="s">
        <v>179</v>
      </c>
      <c r="U585" t="s">
        <v>280</v>
      </c>
    </row>
    <row r="586" spans="8:21" x14ac:dyDescent="0.25">
      <c r="H586">
        <v>534</v>
      </c>
      <c r="I586" t="s">
        <v>333</v>
      </c>
      <c r="J586" t="s">
        <v>181</v>
      </c>
      <c r="K586" t="s">
        <v>753</v>
      </c>
      <c r="R586">
        <v>301</v>
      </c>
      <c r="S586" t="s">
        <v>470</v>
      </c>
      <c r="T586" t="s">
        <v>179</v>
      </c>
      <c r="U586" t="s">
        <v>280</v>
      </c>
    </row>
    <row r="587" spans="8:21" x14ac:dyDescent="0.25">
      <c r="H587">
        <v>531</v>
      </c>
      <c r="I587" t="s">
        <v>754</v>
      </c>
      <c r="J587" t="s">
        <v>181</v>
      </c>
      <c r="K587" t="s">
        <v>753</v>
      </c>
      <c r="R587">
        <v>305</v>
      </c>
      <c r="S587" t="s">
        <v>469</v>
      </c>
      <c r="T587" t="s">
        <v>179</v>
      </c>
      <c r="U587" t="s">
        <v>280</v>
      </c>
    </row>
    <row r="588" spans="8:21" x14ac:dyDescent="0.25">
      <c r="H588">
        <v>535</v>
      </c>
      <c r="I588" t="s">
        <v>755</v>
      </c>
      <c r="J588" t="s">
        <v>181</v>
      </c>
      <c r="K588" t="s">
        <v>753</v>
      </c>
      <c r="R588">
        <v>305</v>
      </c>
      <c r="S588" t="s">
        <v>469</v>
      </c>
      <c r="T588" t="s">
        <v>179</v>
      </c>
      <c r="U588" t="s">
        <v>280</v>
      </c>
    </row>
    <row r="589" spans="8:21" x14ac:dyDescent="0.25">
      <c r="H589">
        <v>536</v>
      </c>
      <c r="I589" t="s">
        <v>756</v>
      </c>
      <c r="J589" t="s">
        <v>181</v>
      </c>
      <c r="K589" t="s">
        <v>753</v>
      </c>
      <c r="R589">
        <v>667</v>
      </c>
      <c r="S589" t="s">
        <v>615</v>
      </c>
      <c r="T589" t="s">
        <v>181</v>
      </c>
      <c r="U589" t="s">
        <v>280</v>
      </c>
    </row>
    <row r="590" spans="8:21" x14ac:dyDescent="0.25">
      <c r="H590">
        <v>537</v>
      </c>
      <c r="I590" t="s">
        <v>757</v>
      </c>
      <c r="J590" t="s">
        <v>181</v>
      </c>
      <c r="K590" t="s">
        <v>753</v>
      </c>
      <c r="R590">
        <v>667</v>
      </c>
      <c r="S590" t="s">
        <v>615</v>
      </c>
      <c r="T590" t="s">
        <v>181</v>
      </c>
      <c r="U590" t="s">
        <v>280</v>
      </c>
    </row>
    <row r="591" spans="8:21" x14ac:dyDescent="0.25">
      <c r="H591">
        <v>532</v>
      </c>
      <c r="I591" t="s">
        <v>758</v>
      </c>
      <c r="J591" t="s">
        <v>181</v>
      </c>
      <c r="K591" t="s">
        <v>753</v>
      </c>
      <c r="R591">
        <v>310</v>
      </c>
      <c r="S591" t="s">
        <v>511</v>
      </c>
      <c r="T591" t="s">
        <v>178</v>
      </c>
      <c r="U591" t="s">
        <v>280</v>
      </c>
    </row>
    <row r="592" spans="8:21" x14ac:dyDescent="0.25">
      <c r="H592">
        <v>538</v>
      </c>
      <c r="I592" t="s">
        <v>38</v>
      </c>
      <c r="J592" t="s">
        <v>181</v>
      </c>
      <c r="K592" t="s">
        <v>753</v>
      </c>
      <c r="R592">
        <v>310</v>
      </c>
      <c r="S592" t="s">
        <v>511</v>
      </c>
      <c r="T592" t="s">
        <v>178</v>
      </c>
      <c r="U592" t="s">
        <v>280</v>
      </c>
    </row>
    <row r="593" spans="8:21" x14ac:dyDescent="0.25">
      <c r="H593">
        <v>678</v>
      </c>
      <c r="I593" t="s">
        <v>834</v>
      </c>
      <c r="J593" t="s">
        <v>181</v>
      </c>
      <c r="K593" t="s">
        <v>753</v>
      </c>
      <c r="R593">
        <v>306</v>
      </c>
      <c r="S593" t="s">
        <v>609</v>
      </c>
      <c r="T593" t="s">
        <v>179</v>
      </c>
      <c r="U593" t="s">
        <v>280</v>
      </c>
    </row>
    <row r="594" spans="8:21" x14ac:dyDescent="0.25">
      <c r="H594">
        <v>539</v>
      </c>
      <c r="I594" t="s">
        <v>759</v>
      </c>
      <c r="J594" t="s">
        <v>181</v>
      </c>
      <c r="K594" t="s">
        <v>753</v>
      </c>
      <c r="R594">
        <v>306</v>
      </c>
      <c r="S594" t="s">
        <v>609</v>
      </c>
      <c r="T594" t="s">
        <v>179</v>
      </c>
      <c r="U594" t="s">
        <v>280</v>
      </c>
    </row>
    <row r="595" spans="8:21" x14ac:dyDescent="0.25">
      <c r="H595">
        <v>540</v>
      </c>
      <c r="I595" t="s">
        <v>760</v>
      </c>
      <c r="J595" t="s">
        <v>181</v>
      </c>
      <c r="K595" t="s">
        <v>753</v>
      </c>
      <c r="R595">
        <v>311</v>
      </c>
      <c r="S595" t="s">
        <v>426</v>
      </c>
      <c r="T595" t="s">
        <v>178</v>
      </c>
      <c r="U595" t="s">
        <v>280</v>
      </c>
    </row>
    <row r="596" spans="8:21" x14ac:dyDescent="0.25">
      <c r="H596">
        <v>541</v>
      </c>
      <c r="I596" t="s">
        <v>761</v>
      </c>
      <c r="J596" t="s">
        <v>181</v>
      </c>
      <c r="K596" t="s">
        <v>753</v>
      </c>
      <c r="R596">
        <v>311</v>
      </c>
      <c r="S596" t="s">
        <v>426</v>
      </c>
      <c r="T596" t="s">
        <v>178</v>
      </c>
      <c r="U596" t="s">
        <v>280</v>
      </c>
    </row>
    <row r="597" spans="8:21" x14ac:dyDescent="0.25">
      <c r="H597">
        <v>542</v>
      </c>
      <c r="I597" t="s">
        <v>762</v>
      </c>
      <c r="J597" t="s">
        <v>181</v>
      </c>
      <c r="K597" t="s">
        <v>753</v>
      </c>
      <c r="R597">
        <v>290</v>
      </c>
      <c r="S597" t="s">
        <v>326</v>
      </c>
      <c r="T597" t="s">
        <v>181</v>
      </c>
      <c r="U597" t="s">
        <v>280</v>
      </c>
    </row>
    <row r="598" spans="8:21" x14ac:dyDescent="0.25">
      <c r="H598">
        <v>562</v>
      </c>
      <c r="I598" t="s">
        <v>763</v>
      </c>
      <c r="J598" t="s">
        <v>178</v>
      </c>
      <c r="K598" t="s">
        <v>753</v>
      </c>
      <c r="R598">
        <v>290</v>
      </c>
      <c r="S598" t="s">
        <v>326</v>
      </c>
      <c r="T598" t="s">
        <v>181</v>
      </c>
      <c r="U598" t="s">
        <v>280</v>
      </c>
    </row>
    <row r="599" spans="8:21" x14ac:dyDescent="0.25">
      <c r="H599">
        <v>560</v>
      </c>
      <c r="I599" t="s">
        <v>764</v>
      </c>
      <c r="J599" t="s">
        <v>178</v>
      </c>
      <c r="K599" t="s">
        <v>753</v>
      </c>
      <c r="R599">
        <v>294</v>
      </c>
      <c r="S599" t="s">
        <v>118</v>
      </c>
      <c r="T599" t="s">
        <v>181</v>
      </c>
      <c r="U599" t="s">
        <v>280</v>
      </c>
    </row>
    <row r="600" spans="8:21" x14ac:dyDescent="0.25">
      <c r="H600">
        <v>563</v>
      </c>
      <c r="I600" t="s">
        <v>765</v>
      </c>
      <c r="J600" t="s">
        <v>178</v>
      </c>
      <c r="K600" t="s">
        <v>753</v>
      </c>
      <c r="R600">
        <v>294</v>
      </c>
      <c r="S600" t="s">
        <v>118</v>
      </c>
      <c r="T600" t="s">
        <v>181</v>
      </c>
      <c r="U600" t="s">
        <v>280</v>
      </c>
    </row>
    <row r="601" spans="8:21" x14ac:dyDescent="0.25">
      <c r="H601">
        <v>252</v>
      </c>
      <c r="I601" t="s">
        <v>414</v>
      </c>
      <c r="J601" t="s">
        <v>178</v>
      </c>
      <c r="K601" t="s">
        <v>753</v>
      </c>
      <c r="R601">
        <v>242</v>
      </c>
      <c r="S601" t="s">
        <v>417</v>
      </c>
      <c r="T601" t="s">
        <v>179</v>
      </c>
      <c r="U601" t="s">
        <v>280</v>
      </c>
    </row>
    <row r="602" spans="8:21" x14ac:dyDescent="0.25">
      <c r="H602">
        <v>561</v>
      </c>
      <c r="I602" t="s">
        <v>766</v>
      </c>
      <c r="J602" t="s">
        <v>178</v>
      </c>
      <c r="K602" t="s">
        <v>753</v>
      </c>
      <c r="R602">
        <v>242</v>
      </c>
      <c r="S602" t="s">
        <v>417</v>
      </c>
      <c r="T602" t="s">
        <v>179</v>
      </c>
      <c r="U602" t="s">
        <v>280</v>
      </c>
    </row>
    <row r="603" spans="8:21" x14ac:dyDescent="0.25">
      <c r="H603">
        <v>564</v>
      </c>
      <c r="I603" t="s">
        <v>767</v>
      </c>
      <c r="J603" t="s">
        <v>178</v>
      </c>
      <c r="K603" t="s">
        <v>753</v>
      </c>
      <c r="R603">
        <v>297</v>
      </c>
      <c r="S603" t="s">
        <v>614</v>
      </c>
      <c r="T603" t="s">
        <v>181</v>
      </c>
      <c r="U603" t="s">
        <v>280</v>
      </c>
    </row>
    <row r="604" spans="8:21" x14ac:dyDescent="0.25">
      <c r="H604">
        <v>529</v>
      </c>
      <c r="I604" t="s">
        <v>747</v>
      </c>
      <c r="J604" t="s">
        <v>258</v>
      </c>
      <c r="K604" t="s">
        <v>753</v>
      </c>
      <c r="R604">
        <v>297</v>
      </c>
      <c r="S604" t="s">
        <v>614</v>
      </c>
      <c r="T604" t="s">
        <v>181</v>
      </c>
      <c r="U604" t="s">
        <v>280</v>
      </c>
    </row>
    <row r="605" spans="8:21" x14ac:dyDescent="0.25">
      <c r="H605">
        <v>530</v>
      </c>
      <c r="I605" t="s">
        <v>768</v>
      </c>
      <c r="J605" t="s">
        <v>258</v>
      </c>
      <c r="K605" t="s">
        <v>753</v>
      </c>
      <c r="R605">
        <v>307</v>
      </c>
      <c r="S605" t="s">
        <v>607</v>
      </c>
      <c r="T605" t="s">
        <v>179</v>
      </c>
      <c r="U605" t="s">
        <v>280</v>
      </c>
    </row>
    <row r="606" spans="8:21" x14ac:dyDescent="0.25">
      <c r="H606">
        <v>528</v>
      </c>
      <c r="I606" t="s">
        <v>103</v>
      </c>
      <c r="J606" t="s">
        <v>258</v>
      </c>
      <c r="K606" t="s">
        <v>753</v>
      </c>
      <c r="R606">
        <v>307</v>
      </c>
      <c r="S606" t="s">
        <v>607</v>
      </c>
      <c r="T606" t="s">
        <v>179</v>
      </c>
      <c r="U606" t="s">
        <v>280</v>
      </c>
    </row>
    <row r="607" spans="8:21" x14ac:dyDescent="0.25">
      <c r="H607">
        <v>670</v>
      </c>
      <c r="I607" t="s">
        <v>769</v>
      </c>
      <c r="J607" t="s">
        <v>258</v>
      </c>
      <c r="K607" t="s">
        <v>753</v>
      </c>
      <c r="R607">
        <v>302</v>
      </c>
      <c r="S607" t="s">
        <v>321</v>
      </c>
      <c r="T607" t="s">
        <v>179</v>
      </c>
      <c r="U607" t="s">
        <v>280</v>
      </c>
    </row>
    <row r="608" spans="8:21" x14ac:dyDescent="0.25">
      <c r="H608">
        <v>543</v>
      </c>
      <c r="I608" t="s">
        <v>293</v>
      </c>
      <c r="J608" t="s">
        <v>179</v>
      </c>
      <c r="K608" t="s">
        <v>753</v>
      </c>
      <c r="R608">
        <v>302</v>
      </c>
      <c r="S608" t="s">
        <v>321</v>
      </c>
      <c r="T608" t="s">
        <v>179</v>
      </c>
      <c r="U608" t="s">
        <v>280</v>
      </c>
    </row>
    <row r="609" spans="8:21" x14ac:dyDescent="0.25">
      <c r="H609">
        <v>546</v>
      </c>
      <c r="I609" t="s">
        <v>770</v>
      </c>
      <c r="J609" t="s">
        <v>179</v>
      </c>
      <c r="K609" t="s">
        <v>753</v>
      </c>
      <c r="R609">
        <v>303</v>
      </c>
      <c r="S609" t="s">
        <v>314</v>
      </c>
      <c r="T609" t="s">
        <v>179</v>
      </c>
      <c r="U609" t="s">
        <v>280</v>
      </c>
    </row>
    <row r="610" spans="8:21" x14ac:dyDescent="0.25">
      <c r="H610">
        <v>554</v>
      </c>
      <c r="I610" t="s">
        <v>771</v>
      </c>
      <c r="J610" t="s">
        <v>179</v>
      </c>
      <c r="K610" t="s">
        <v>753</v>
      </c>
      <c r="R610">
        <v>303</v>
      </c>
      <c r="S610" t="s">
        <v>314</v>
      </c>
      <c r="T610" t="s">
        <v>179</v>
      </c>
      <c r="U610" t="s">
        <v>280</v>
      </c>
    </row>
    <row r="611" spans="8:21" x14ac:dyDescent="0.25">
      <c r="H611">
        <v>555</v>
      </c>
      <c r="I611" t="s">
        <v>772</v>
      </c>
      <c r="J611" t="s">
        <v>179</v>
      </c>
      <c r="K611" t="s">
        <v>753</v>
      </c>
      <c r="R611">
        <v>419</v>
      </c>
      <c r="S611" t="s">
        <v>73</v>
      </c>
      <c r="T611" t="s">
        <v>179</v>
      </c>
      <c r="U611" t="s">
        <v>280</v>
      </c>
    </row>
    <row r="612" spans="8:21" x14ac:dyDescent="0.25">
      <c r="H612">
        <v>544</v>
      </c>
      <c r="I612" t="s">
        <v>773</v>
      </c>
      <c r="J612" t="s">
        <v>179</v>
      </c>
      <c r="K612" t="s">
        <v>753</v>
      </c>
      <c r="R612">
        <v>308</v>
      </c>
      <c r="S612" t="s">
        <v>606</v>
      </c>
      <c r="T612" t="s">
        <v>179</v>
      </c>
      <c r="U612" t="s">
        <v>280</v>
      </c>
    </row>
    <row r="613" spans="8:21" x14ac:dyDescent="0.25">
      <c r="H613">
        <v>547</v>
      </c>
      <c r="I613" t="s">
        <v>774</v>
      </c>
      <c r="J613" t="s">
        <v>179</v>
      </c>
      <c r="K613" t="s">
        <v>753</v>
      </c>
      <c r="R613">
        <v>308</v>
      </c>
      <c r="S613" t="s">
        <v>606</v>
      </c>
      <c r="T613" t="s">
        <v>179</v>
      </c>
      <c r="U613" t="s">
        <v>280</v>
      </c>
    </row>
    <row r="614" spans="8:21" x14ac:dyDescent="0.25">
      <c r="H614">
        <v>556</v>
      </c>
      <c r="I614" t="s">
        <v>775</v>
      </c>
      <c r="J614" t="s">
        <v>179</v>
      </c>
      <c r="K614" t="s">
        <v>753</v>
      </c>
      <c r="R614">
        <v>304</v>
      </c>
      <c r="S614" t="s">
        <v>160</v>
      </c>
      <c r="T614" t="s">
        <v>179</v>
      </c>
      <c r="U614" t="s">
        <v>280</v>
      </c>
    </row>
    <row r="615" spans="8:21" x14ac:dyDescent="0.25">
      <c r="H615">
        <v>557</v>
      </c>
      <c r="I615" t="s">
        <v>776</v>
      </c>
      <c r="J615" t="s">
        <v>179</v>
      </c>
      <c r="K615" t="s">
        <v>753</v>
      </c>
      <c r="R615">
        <v>304</v>
      </c>
      <c r="S615" t="s">
        <v>160</v>
      </c>
      <c r="T615" t="s">
        <v>179</v>
      </c>
      <c r="U615" t="s">
        <v>280</v>
      </c>
    </row>
    <row r="616" spans="8:21" x14ac:dyDescent="0.25">
      <c r="H616">
        <v>558</v>
      </c>
      <c r="I616" t="s">
        <v>777</v>
      </c>
      <c r="J616" t="s">
        <v>179</v>
      </c>
      <c r="K616" t="s">
        <v>753</v>
      </c>
      <c r="R616">
        <v>295</v>
      </c>
      <c r="S616" t="s">
        <v>110</v>
      </c>
      <c r="T616" t="s">
        <v>181</v>
      </c>
      <c r="U616" t="s">
        <v>280</v>
      </c>
    </row>
    <row r="617" spans="8:21" x14ac:dyDescent="0.25">
      <c r="H617">
        <v>548</v>
      </c>
      <c r="I617" t="s">
        <v>778</v>
      </c>
      <c r="J617" t="s">
        <v>179</v>
      </c>
      <c r="K617" t="s">
        <v>753</v>
      </c>
      <c r="R617">
        <v>295</v>
      </c>
      <c r="S617" t="s">
        <v>110</v>
      </c>
      <c r="T617" t="s">
        <v>181</v>
      </c>
      <c r="U617" t="s">
        <v>280</v>
      </c>
    </row>
    <row r="618" spans="8:21" x14ac:dyDescent="0.25">
      <c r="H618">
        <v>549</v>
      </c>
      <c r="I618" t="s">
        <v>779</v>
      </c>
      <c r="J618" t="s">
        <v>179</v>
      </c>
      <c r="K618" t="s">
        <v>753</v>
      </c>
      <c r="R618">
        <v>300</v>
      </c>
      <c r="S618" t="s">
        <v>296</v>
      </c>
      <c r="T618" t="s">
        <v>179</v>
      </c>
      <c r="U618" t="s">
        <v>280</v>
      </c>
    </row>
    <row r="619" spans="8:21" x14ac:dyDescent="0.25">
      <c r="H619">
        <v>550</v>
      </c>
      <c r="I619" t="s">
        <v>780</v>
      </c>
      <c r="J619" t="s">
        <v>179</v>
      </c>
      <c r="K619" t="s">
        <v>753</v>
      </c>
      <c r="R619">
        <v>300</v>
      </c>
      <c r="S619" t="s">
        <v>296</v>
      </c>
      <c r="T619" t="s">
        <v>179</v>
      </c>
      <c r="U619" t="s">
        <v>280</v>
      </c>
    </row>
    <row r="620" spans="8:21" x14ac:dyDescent="0.25">
      <c r="H620">
        <v>551</v>
      </c>
      <c r="I620" t="s">
        <v>781</v>
      </c>
      <c r="J620" t="s">
        <v>179</v>
      </c>
      <c r="K620" t="s">
        <v>753</v>
      </c>
      <c r="R620">
        <v>309</v>
      </c>
      <c r="S620" t="s">
        <v>610</v>
      </c>
      <c r="T620" t="s">
        <v>179</v>
      </c>
      <c r="U620" t="s">
        <v>280</v>
      </c>
    </row>
    <row r="621" spans="8:21" x14ac:dyDescent="0.25">
      <c r="H621">
        <v>545</v>
      </c>
      <c r="I621" t="s">
        <v>636</v>
      </c>
      <c r="J621" t="s">
        <v>179</v>
      </c>
      <c r="K621" t="s">
        <v>753</v>
      </c>
      <c r="R621">
        <v>309</v>
      </c>
      <c r="S621" t="s">
        <v>610</v>
      </c>
      <c r="T621" t="s">
        <v>179</v>
      </c>
      <c r="U621" t="s">
        <v>280</v>
      </c>
    </row>
    <row r="622" spans="8:21" x14ac:dyDescent="0.25">
      <c r="H622">
        <v>552</v>
      </c>
      <c r="I622" t="s">
        <v>782</v>
      </c>
      <c r="J622" t="s">
        <v>179</v>
      </c>
      <c r="K622" t="s">
        <v>753</v>
      </c>
      <c r="R622">
        <v>292</v>
      </c>
      <c r="S622" t="s">
        <v>93</v>
      </c>
      <c r="T622" t="s">
        <v>181</v>
      </c>
      <c r="U622" t="s">
        <v>280</v>
      </c>
    </row>
    <row r="623" spans="8:21" x14ac:dyDescent="0.25">
      <c r="H623">
        <v>553</v>
      </c>
      <c r="I623" t="s">
        <v>783</v>
      </c>
      <c r="J623" t="s">
        <v>179</v>
      </c>
      <c r="K623" t="s">
        <v>753</v>
      </c>
      <c r="R623">
        <v>292</v>
      </c>
      <c r="S623" t="s">
        <v>93</v>
      </c>
      <c r="T623" t="s">
        <v>181</v>
      </c>
      <c r="U623" t="s">
        <v>280</v>
      </c>
    </row>
    <row r="624" spans="8:21" x14ac:dyDescent="0.25">
      <c r="H624">
        <v>559</v>
      </c>
      <c r="I624" t="s">
        <v>784</v>
      </c>
      <c r="J624" t="s">
        <v>179</v>
      </c>
      <c r="K624" t="s">
        <v>753</v>
      </c>
      <c r="R624">
        <v>299</v>
      </c>
      <c r="S624" t="s">
        <v>287</v>
      </c>
      <c r="T624" t="s">
        <v>179</v>
      </c>
      <c r="U624" t="s">
        <v>280</v>
      </c>
    </row>
    <row r="625" spans="8:21" x14ac:dyDescent="0.25">
      <c r="H625">
        <v>668</v>
      </c>
      <c r="I625" t="s">
        <v>785</v>
      </c>
      <c r="J625" t="s">
        <v>179</v>
      </c>
      <c r="K625" t="s">
        <v>753</v>
      </c>
      <c r="R625">
        <v>299</v>
      </c>
      <c r="S625" t="s">
        <v>287</v>
      </c>
      <c r="T625" t="s">
        <v>179</v>
      </c>
      <c r="U625" t="s">
        <v>280</v>
      </c>
    </row>
    <row r="626" spans="8:21" x14ac:dyDescent="0.25">
      <c r="H626">
        <v>611</v>
      </c>
      <c r="I626" t="s">
        <v>786</v>
      </c>
      <c r="J626" t="s">
        <v>181</v>
      </c>
      <c r="K626" t="s">
        <v>277</v>
      </c>
      <c r="R626">
        <v>293</v>
      </c>
      <c r="S626" t="s">
        <v>157</v>
      </c>
      <c r="T626" t="s">
        <v>181</v>
      </c>
      <c r="U626" t="s">
        <v>280</v>
      </c>
    </row>
    <row r="627" spans="8:21" x14ac:dyDescent="0.25">
      <c r="H627">
        <v>603</v>
      </c>
      <c r="I627" t="s">
        <v>787</v>
      </c>
      <c r="J627" t="s">
        <v>181</v>
      </c>
      <c r="K627" t="s">
        <v>277</v>
      </c>
      <c r="R627">
        <v>293</v>
      </c>
      <c r="S627" t="s">
        <v>157</v>
      </c>
      <c r="T627" t="s">
        <v>181</v>
      </c>
      <c r="U627" t="s">
        <v>280</v>
      </c>
    </row>
    <row r="628" spans="8:21" x14ac:dyDescent="0.25">
      <c r="H628">
        <v>604</v>
      </c>
      <c r="I628" t="s">
        <v>327</v>
      </c>
      <c r="J628" t="s">
        <v>181</v>
      </c>
      <c r="K628" t="s">
        <v>277</v>
      </c>
      <c r="R628">
        <v>296</v>
      </c>
      <c r="S628" t="s">
        <v>103</v>
      </c>
      <c r="T628" t="s">
        <v>181</v>
      </c>
      <c r="U628" t="s">
        <v>280</v>
      </c>
    </row>
    <row r="629" spans="8:21" x14ac:dyDescent="0.25">
      <c r="H629">
        <v>605</v>
      </c>
      <c r="I629" t="s">
        <v>149</v>
      </c>
      <c r="J629" t="s">
        <v>181</v>
      </c>
      <c r="K629" t="s">
        <v>277</v>
      </c>
      <c r="R629">
        <v>296</v>
      </c>
      <c r="S629" t="s">
        <v>103</v>
      </c>
      <c r="T629" t="s">
        <v>181</v>
      </c>
      <c r="U629" t="s">
        <v>280</v>
      </c>
    </row>
    <row r="630" spans="8:21" x14ac:dyDescent="0.25">
      <c r="H630">
        <v>606</v>
      </c>
      <c r="I630" t="s">
        <v>476</v>
      </c>
      <c r="J630" t="s">
        <v>181</v>
      </c>
      <c r="K630" t="s">
        <v>277</v>
      </c>
      <c r="R630">
        <v>287</v>
      </c>
      <c r="S630" t="s">
        <v>26</v>
      </c>
      <c r="T630" t="s">
        <v>258</v>
      </c>
      <c r="U630" t="s">
        <v>280</v>
      </c>
    </row>
    <row r="631" spans="8:21" x14ac:dyDescent="0.25">
      <c r="H631">
        <v>607</v>
      </c>
      <c r="I631" t="s">
        <v>307</v>
      </c>
      <c r="J631" t="s">
        <v>181</v>
      </c>
      <c r="K631" t="s">
        <v>277</v>
      </c>
      <c r="R631">
        <v>287</v>
      </c>
      <c r="S631" t="s">
        <v>26</v>
      </c>
      <c r="T631" t="s">
        <v>258</v>
      </c>
      <c r="U631" t="s">
        <v>280</v>
      </c>
    </row>
    <row r="632" spans="8:21" x14ac:dyDescent="0.25">
      <c r="H632">
        <v>608</v>
      </c>
      <c r="I632" t="s">
        <v>788</v>
      </c>
      <c r="J632" t="s">
        <v>181</v>
      </c>
      <c r="K632" t="s">
        <v>277</v>
      </c>
      <c r="R632">
        <v>313</v>
      </c>
      <c r="S632" t="s">
        <v>555</v>
      </c>
      <c r="T632" t="s">
        <v>178</v>
      </c>
      <c r="U632" t="s">
        <v>280</v>
      </c>
    </row>
    <row r="633" spans="8:21" x14ac:dyDescent="0.25">
      <c r="H633">
        <v>609</v>
      </c>
      <c r="I633" t="s">
        <v>501</v>
      </c>
      <c r="J633" t="s">
        <v>181</v>
      </c>
      <c r="K633" t="s">
        <v>277</v>
      </c>
      <c r="R633">
        <v>313</v>
      </c>
      <c r="S633" t="s">
        <v>555</v>
      </c>
      <c r="T633" t="s">
        <v>178</v>
      </c>
      <c r="U633" t="s">
        <v>280</v>
      </c>
    </row>
    <row r="634" spans="8:21" x14ac:dyDescent="0.25">
      <c r="H634">
        <v>659</v>
      </c>
      <c r="I634" t="s">
        <v>468</v>
      </c>
      <c r="J634" t="s">
        <v>181</v>
      </c>
      <c r="K634" t="s">
        <v>277</v>
      </c>
      <c r="R634">
        <v>291</v>
      </c>
      <c r="S634" t="s">
        <v>90</v>
      </c>
      <c r="T634" t="s">
        <v>181</v>
      </c>
      <c r="U634" t="s">
        <v>280</v>
      </c>
    </row>
    <row r="635" spans="8:21" x14ac:dyDescent="0.25">
      <c r="H635">
        <v>610</v>
      </c>
      <c r="I635" t="s">
        <v>141</v>
      </c>
      <c r="J635" t="s">
        <v>181</v>
      </c>
      <c r="K635" t="s">
        <v>277</v>
      </c>
      <c r="R635">
        <v>291</v>
      </c>
      <c r="S635" t="s">
        <v>90</v>
      </c>
      <c r="T635" t="s">
        <v>181</v>
      </c>
      <c r="U635" t="s">
        <v>280</v>
      </c>
    </row>
    <row r="636" spans="8:21" x14ac:dyDescent="0.25">
      <c r="H636">
        <v>624</v>
      </c>
      <c r="I636" t="s">
        <v>12</v>
      </c>
      <c r="J636" t="s">
        <v>178</v>
      </c>
      <c r="K636" t="s">
        <v>277</v>
      </c>
      <c r="R636">
        <v>288</v>
      </c>
      <c r="S636" t="s">
        <v>31</v>
      </c>
      <c r="T636" t="s">
        <v>258</v>
      </c>
      <c r="U636" t="s">
        <v>280</v>
      </c>
    </row>
    <row r="637" spans="8:21" x14ac:dyDescent="0.25">
      <c r="H637">
        <v>625</v>
      </c>
      <c r="I637" t="s">
        <v>789</v>
      </c>
      <c r="J637" t="s">
        <v>178</v>
      </c>
      <c r="K637" t="s">
        <v>277</v>
      </c>
      <c r="R637">
        <v>288</v>
      </c>
      <c r="S637" t="s">
        <v>31</v>
      </c>
      <c r="T637" t="s">
        <v>258</v>
      </c>
      <c r="U637" t="s">
        <v>280</v>
      </c>
    </row>
    <row r="638" spans="8:21" x14ac:dyDescent="0.25">
      <c r="H638">
        <v>626</v>
      </c>
      <c r="I638" t="s">
        <v>790</v>
      </c>
      <c r="J638" t="s">
        <v>178</v>
      </c>
      <c r="K638" t="s">
        <v>277</v>
      </c>
      <c r="R638">
        <v>289</v>
      </c>
      <c r="S638" t="s">
        <v>616</v>
      </c>
      <c r="T638" t="s">
        <v>258</v>
      </c>
      <c r="U638" t="s">
        <v>280</v>
      </c>
    </row>
    <row r="639" spans="8:21" x14ac:dyDescent="0.25">
      <c r="H639">
        <v>671</v>
      </c>
      <c r="I639" t="s">
        <v>19</v>
      </c>
      <c r="J639" t="s">
        <v>178</v>
      </c>
      <c r="K639" t="s">
        <v>277</v>
      </c>
      <c r="R639">
        <v>289</v>
      </c>
      <c r="S639" t="s">
        <v>616</v>
      </c>
      <c r="T639" t="s">
        <v>258</v>
      </c>
      <c r="U639" t="s">
        <v>280</v>
      </c>
    </row>
    <row r="640" spans="8:21" x14ac:dyDescent="0.25">
      <c r="H640">
        <v>600</v>
      </c>
      <c r="I640" t="s">
        <v>165</v>
      </c>
      <c r="J640" t="s">
        <v>258</v>
      </c>
      <c r="K640" t="s">
        <v>277</v>
      </c>
      <c r="R640">
        <v>298</v>
      </c>
      <c r="S640" t="s">
        <v>608</v>
      </c>
      <c r="T640" t="s">
        <v>181</v>
      </c>
      <c r="U640" t="s">
        <v>280</v>
      </c>
    </row>
    <row r="641" spans="8:21" x14ac:dyDescent="0.25">
      <c r="H641">
        <v>601</v>
      </c>
      <c r="I641" t="s">
        <v>288</v>
      </c>
      <c r="J641" t="s">
        <v>258</v>
      </c>
      <c r="K641" t="s">
        <v>277</v>
      </c>
      <c r="R641">
        <v>298</v>
      </c>
      <c r="S641" t="s">
        <v>608</v>
      </c>
      <c r="T641" t="s">
        <v>181</v>
      </c>
      <c r="U641" t="s">
        <v>280</v>
      </c>
    </row>
    <row r="642" spans="8:21" x14ac:dyDescent="0.25">
      <c r="H642">
        <v>602</v>
      </c>
      <c r="I642" t="s">
        <v>791</v>
      </c>
      <c r="J642" t="s">
        <v>258</v>
      </c>
      <c r="K642" t="s">
        <v>277</v>
      </c>
      <c r="R642">
        <v>312</v>
      </c>
      <c r="S642" t="s">
        <v>578</v>
      </c>
      <c r="T642" t="s">
        <v>178</v>
      </c>
      <c r="U642" t="s">
        <v>280</v>
      </c>
    </row>
    <row r="643" spans="8:21" x14ac:dyDescent="0.25">
      <c r="H643">
        <v>679</v>
      </c>
      <c r="I643" t="s">
        <v>835</v>
      </c>
      <c r="J643" t="s">
        <v>258</v>
      </c>
      <c r="K643" t="s">
        <v>277</v>
      </c>
      <c r="R643">
        <v>312</v>
      </c>
      <c r="S643" t="s">
        <v>578</v>
      </c>
      <c r="T643" t="s">
        <v>178</v>
      </c>
      <c r="U643" t="s">
        <v>280</v>
      </c>
    </row>
    <row r="644" spans="8:21" x14ac:dyDescent="0.25">
      <c r="H644">
        <v>616</v>
      </c>
      <c r="I644" t="s">
        <v>136</v>
      </c>
      <c r="J644" t="s">
        <v>179</v>
      </c>
      <c r="K644" t="s">
        <v>277</v>
      </c>
      <c r="R644">
        <v>326</v>
      </c>
      <c r="S644" t="s">
        <v>431</v>
      </c>
      <c r="T644" t="s">
        <v>179</v>
      </c>
      <c r="U644" t="s">
        <v>272</v>
      </c>
    </row>
    <row r="645" spans="8:21" x14ac:dyDescent="0.25">
      <c r="H645">
        <v>617</v>
      </c>
      <c r="I645" t="s">
        <v>331</v>
      </c>
      <c r="J645" t="s">
        <v>179</v>
      </c>
      <c r="K645" t="s">
        <v>277</v>
      </c>
      <c r="R645">
        <v>326</v>
      </c>
      <c r="S645" t="s">
        <v>431</v>
      </c>
      <c r="T645" t="s">
        <v>179</v>
      </c>
      <c r="U645" t="s">
        <v>272</v>
      </c>
    </row>
    <row r="646" spans="8:21" x14ac:dyDescent="0.25">
      <c r="H646">
        <v>620</v>
      </c>
      <c r="I646" t="s">
        <v>477</v>
      </c>
      <c r="J646" t="s">
        <v>179</v>
      </c>
      <c r="K646" t="s">
        <v>277</v>
      </c>
      <c r="R646">
        <v>323</v>
      </c>
      <c r="S646" t="s">
        <v>527</v>
      </c>
      <c r="T646" t="s">
        <v>181</v>
      </c>
      <c r="U646" t="s">
        <v>272</v>
      </c>
    </row>
    <row r="647" spans="8:21" x14ac:dyDescent="0.25">
      <c r="H647">
        <v>618</v>
      </c>
      <c r="I647" t="s">
        <v>499</v>
      </c>
      <c r="J647" t="s">
        <v>179</v>
      </c>
      <c r="K647" t="s">
        <v>277</v>
      </c>
      <c r="R647">
        <v>323</v>
      </c>
      <c r="S647" t="s">
        <v>527</v>
      </c>
      <c r="T647" t="s">
        <v>181</v>
      </c>
      <c r="U647" t="s">
        <v>272</v>
      </c>
    </row>
    <row r="648" spans="8:21" x14ac:dyDescent="0.25">
      <c r="H648">
        <v>621</v>
      </c>
      <c r="I648" t="s">
        <v>478</v>
      </c>
      <c r="J648" t="s">
        <v>179</v>
      </c>
      <c r="K648" t="s">
        <v>277</v>
      </c>
      <c r="R648">
        <v>317</v>
      </c>
      <c r="S648" t="s">
        <v>76</v>
      </c>
      <c r="T648" t="s">
        <v>181</v>
      </c>
      <c r="U648" t="s">
        <v>272</v>
      </c>
    </row>
    <row r="649" spans="8:21" x14ac:dyDescent="0.25">
      <c r="H649">
        <v>619</v>
      </c>
      <c r="I649" t="s">
        <v>480</v>
      </c>
      <c r="J649" t="s">
        <v>179</v>
      </c>
      <c r="K649" t="s">
        <v>277</v>
      </c>
      <c r="R649">
        <v>317</v>
      </c>
      <c r="S649" t="s">
        <v>76</v>
      </c>
      <c r="T649" t="s">
        <v>181</v>
      </c>
      <c r="U649" t="s">
        <v>272</v>
      </c>
    </row>
    <row r="650" spans="8:21" x14ac:dyDescent="0.25">
      <c r="H650">
        <v>612</v>
      </c>
      <c r="I650" t="s">
        <v>481</v>
      </c>
      <c r="J650" t="s">
        <v>179</v>
      </c>
      <c r="K650" t="s">
        <v>277</v>
      </c>
      <c r="R650">
        <v>327</v>
      </c>
      <c r="S650" t="s">
        <v>68</v>
      </c>
      <c r="T650" t="s">
        <v>179</v>
      </c>
      <c r="U650" t="s">
        <v>272</v>
      </c>
    </row>
    <row r="651" spans="8:21" x14ac:dyDescent="0.25">
      <c r="H651">
        <v>622</v>
      </c>
      <c r="I651" t="s">
        <v>792</v>
      </c>
      <c r="J651" t="s">
        <v>179</v>
      </c>
      <c r="K651" t="s">
        <v>277</v>
      </c>
      <c r="R651">
        <v>327</v>
      </c>
      <c r="S651" t="s">
        <v>68</v>
      </c>
      <c r="T651" t="s">
        <v>179</v>
      </c>
      <c r="U651" t="s">
        <v>272</v>
      </c>
    </row>
    <row r="652" spans="8:21" x14ac:dyDescent="0.25">
      <c r="H652">
        <v>623</v>
      </c>
      <c r="I652" t="s">
        <v>793</v>
      </c>
      <c r="J652" t="s">
        <v>179</v>
      </c>
      <c r="K652" t="s">
        <v>277</v>
      </c>
      <c r="R652">
        <v>318</v>
      </c>
      <c r="S652" t="s">
        <v>384</v>
      </c>
      <c r="T652" t="s">
        <v>181</v>
      </c>
      <c r="U652" t="s">
        <v>272</v>
      </c>
    </row>
    <row r="653" spans="8:21" x14ac:dyDescent="0.25">
      <c r="H653">
        <v>613</v>
      </c>
      <c r="I653" t="s">
        <v>42</v>
      </c>
      <c r="J653" t="s">
        <v>179</v>
      </c>
      <c r="K653" t="s">
        <v>277</v>
      </c>
      <c r="R653">
        <v>318</v>
      </c>
      <c r="S653" t="s">
        <v>384</v>
      </c>
      <c r="T653" t="s">
        <v>181</v>
      </c>
      <c r="U653" t="s">
        <v>272</v>
      </c>
    </row>
    <row r="654" spans="8:21" x14ac:dyDescent="0.25">
      <c r="H654">
        <v>615</v>
      </c>
      <c r="I654" t="s">
        <v>495</v>
      </c>
      <c r="J654" t="s">
        <v>179</v>
      </c>
      <c r="K654" t="s">
        <v>277</v>
      </c>
      <c r="R654">
        <v>315</v>
      </c>
      <c r="S654" t="s">
        <v>430</v>
      </c>
      <c r="T654" t="s">
        <v>258</v>
      </c>
      <c r="U654" t="s">
        <v>272</v>
      </c>
    </row>
    <row r="655" spans="8:21" x14ac:dyDescent="0.25">
      <c r="H655">
        <v>614</v>
      </c>
      <c r="I655" t="s">
        <v>482</v>
      </c>
      <c r="J655" t="s">
        <v>179</v>
      </c>
      <c r="K655" t="s">
        <v>277</v>
      </c>
      <c r="R655">
        <v>315</v>
      </c>
      <c r="S655" t="s">
        <v>430</v>
      </c>
      <c r="T655" t="s">
        <v>258</v>
      </c>
      <c r="U655" t="s">
        <v>272</v>
      </c>
    </row>
    <row r="656" spans="8:21" x14ac:dyDescent="0.25">
      <c r="H656">
        <v>631</v>
      </c>
      <c r="I656" t="s">
        <v>794</v>
      </c>
      <c r="J656" t="s">
        <v>181</v>
      </c>
      <c r="K656" t="s">
        <v>312</v>
      </c>
      <c r="R656">
        <v>330</v>
      </c>
      <c r="S656" t="s">
        <v>571</v>
      </c>
      <c r="T656" t="s">
        <v>179</v>
      </c>
      <c r="U656" t="s">
        <v>272</v>
      </c>
    </row>
    <row r="657" spans="8:21" x14ac:dyDescent="0.25">
      <c r="H657">
        <v>632</v>
      </c>
      <c r="I657" t="s">
        <v>45</v>
      </c>
      <c r="J657" t="s">
        <v>181</v>
      </c>
      <c r="K657" t="s">
        <v>312</v>
      </c>
      <c r="R657">
        <v>330</v>
      </c>
      <c r="S657" t="s">
        <v>571</v>
      </c>
      <c r="T657" t="s">
        <v>179</v>
      </c>
      <c r="U657" t="s">
        <v>272</v>
      </c>
    </row>
    <row r="658" spans="8:21" x14ac:dyDescent="0.25">
      <c r="H658">
        <v>633</v>
      </c>
      <c r="I658" t="s">
        <v>483</v>
      </c>
      <c r="J658" t="s">
        <v>181</v>
      </c>
      <c r="K658" t="s">
        <v>312</v>
      </c>
      <c r="R658">
        <v>331</v>
      </c>
      <c r="S658" t="s">
        <v>81</v>
      </c>
      <c r="T658" t="s">
        <v>179</v>
      </c>
      <c r="U658" t="s">
        <v>272</v>
      </c>
    </row>
    <row r="659" spans="8:21" x14ac:dyDescent="0.25">
      <c r="H659">
        <v>638</v>
      </c>
      <c r="I659" t="s">
        <v>345</v>
      </c>
      <c r="J659" t="s">
        <v>181</v>
      </c>
      <c r="K659" t="s">
        <v>312</v>
      </c>
      <c r="R659">
        <v>331</v>
      </c>
      <c r="S659" t="s">
        <v>81</v>
      </c>
      <c r="T659" t="s">
        <v>179</v>
      </c>
      <c r="U659" t="s">
        <v>272</v>
      </c>
    </row>
    <row r="660" spans="8:21" x14ac:dyDescent="0.25">
      <c r="H660">
        <v>639</v>
      </c>
      <c r="I660" t="s">
        <v>795</v>
      </c>
      <c r="J660" t="s">
        <v>181</v>
      </c>
      <c r="K660" t="s">
        <v>312</v>
      </c>
      <c r="R660">
        <v>319</v>
      </c>
      <c r="S660" t="s">
        <v>428</v>
      </c>
      <c r="T660" t="s">
        <v>181</v>
      </c>
      <c r="U660" t="s">
        <v>272</v>
      </c>
    </row>
    <row r="661" spans="8:21" x14ac:dyDescent="0.25">
      <c r="H661">
        <v>634</v>
      </c>
      <c r="I661" t="s">
        <v>484</v>
      </c>
      <c r="J661" t="s">
        <v>181</v>
      </c>
      <c r="K661" t="s">
        <v>312</v>
      </c>
      <c r="R661">
        <v>319</v>
      </c>
      <c r="S661" t="s">
        <v>428</v>
      </c>
      <c r="T661" t="s">
        <v>181</v>
      </c>
      <c r="U661" t="s">
        <v>272</v>
      </c>
    </row>
    <row r="662" spans="8:21" x14ac:dyDescent="0.25">
      <c r="H662">
        <v>640</v>
      </c>
      <c r="I662" t="s">
        <v>485</v>
      </c>
      <c r="J662" t="s">
        <v>181</v>
      </c>
      <c r="K662" t="s">
        <v>312</v>
      </c>
      <c r="R662">
        <v>320</v>
      </c>
      <c r="S662" t="s">
        <v>139</v>
      </c>
      <c r="T662" t="s">
        <v>181</v>
      </c>
      <c r="U662" t="s">
        <v>272</v>
      </c>
    </row>
    <row r="663" spans="8:21" x14ac:dyDescent="0.25">
      <c r="H663">
        <v>641</v>
      </c>
      <c r="I663" t="s">
        <v>796</v>
      </c>
      <c r="J663" t="s">
        <v>181</v>
      </c>
      <c r="K663" t="s">
        <v>312</v>
      </c>
      <c r="R663">
        <v>320</v>
      </c>
      <c r="S663" t="s">
        <v>139</v>
      </c>
      <c r="T663" t="s">
        <v>181</v>
      </c>
      <c r="U663" t="s">
        <v>272</v>
      </c>
    </row>
    <row r="664" spans="8:21" x14ac:dyDescent="0.25">
      <c r="H664">
        <v>635</v>
      </c>
      <c r="I664" t="s">
        <v>494</v>
      </c>
      <c r="J664" t="s">
        <v>181</v>
      </c>
      <c r="K664" t="s">
        <v>312</v>
      </c>
      <c r="R664">
        <v>333</v>
      </c>
      <c r="S664" t="s">
        <v>661</v>
      </c>
      <c r="T664" t="s">
        <v>179</v>
      </c>
      <c r="U664" t="s">
        <v>272</v>
      </c>
    </row>
    <row r="665" spans="8:21" x14ac:dyDescent="0.25">
      <c r="H665">
        <v>636</v>
      </c>
      <c r="I665" t="s">
        <v>486</v>
      </c>
      <c r="J665" t="s">
        <v>181</v>
      </c>
      <c r="K665" t="s">
        <v>312</v>
      </c>
      <c r="R665">
        <v>333</v>
      </c>
      <c r="S665" t="s">
        <v>661</v>
      </c>
      <c r="T665" t="s">
        <v>179</v>
      </c>
      <c r="U665" t="s">
        <v>272</v>
      </c>
    </row>
    <row r="666" spans="8:21" x14ac:dyDescent="0.25">
      <c r="H666">
        <v>637</v>
      </c>
      <c r="I666" t="s">
        <v>102</v>
      </c>
      <c r="J666" t="s">
        <v>181</v>
      </c>
      <c r="K666" t="s">
        <v>312</v>
      </c>
      <c r="R666">
        <v>334</v>
      </c>
      <c r="S666" t="s">
        <v>432</v>
      </c>
      <c r="T666" t="s">
        <v>179</v>
      </c>
      <c r="U666" t="s">
        <v>272</v>
      </c>
    </row>
    <row r="667" spans="8:21" x14ac:dyDescent="0.25">
      <c r="H667">
        <v>657</v>
      </c>
      <c r="I667" t="s">
        <v>487</v>
      </c>
      <c r="J667" t="s">
        <v>178</v>
      </c>
      <c r="K667" t="s">
        <v>312</v>
      </c>
      <c r="R667">
        <v>334</v>
      </c>
      <c r="S667" t="s">
        <v>432</v>
      </c>
      <c r="T667" t="s">
        <v>179</v>
      </c>
      <c r="U667" t="s">
        <v>272</v>
      </c>
    </row>
    <row r="668" spans="8:21" x14ac:dyDescent="0.25">
      <c r="H668">
        <v>655</v>
      </c>
      <c r="I668" t="s">
        <v>352</v>
      </c>
      <c r="J668" t="s">
        <v>178</v>
      </c>
      <c r="K668" t="s">
        <v>312</v>
      </c>
      <c r="R668">
        <v>324</v>
      </c>
      <c r="S668" t="s">
        <v>82</v>
      </c>
      <c r="T668" t="s">
        <v>179</v>
      </c>
      <c r="U668" t="s">
        <v>272</v>
      </c>
    </row>
    <row r="669" spans="8:21" x14ac:dyDescent="0.25">
      <c r="H669">
        <v>658</v>
      </c>
      <c r="I669" t="s">
        <v>62</v>
      </c>
      <c r="J669" t="s">
        <v>178</v>
      </c>
      <c r="K669" t="s">
        <v>312</v>
      </c>
      <c r="R669">
        <v>324</v>
      </c>
      <c r="S669" t="s">
        <v>82</v>
      </c>
      <c r="T669" t="s">
        <v>179</v>
      </c>
      <c r="U669" t="s">
        <v>272</v>
      </c>
    </row>
    <row r="670" spans="8:21" x14ac:dyDescent="0.25">
      <c r="H670">
        <v>656</v>
      </c>
      <c r="I670" t="s">
        <v>354</v>
      </c>
      <c r="J670" t="s">
        <v>178</v>
      </c>
      <c r="K670" t="s">
        <v>312</v>
      </c>
      <c r="R670">
        <v>321</v>
      </c>
      <c r="S670" t="s">
        <v>496</v>
      </c>
      <c r="T670" t="s">
        <v>181</v>
      </c>
      <c r="U670" t="s">
        <v>272</v>
      </c>
    </row>
    <row r="671" spans="8:21" x14ac:dyDescent="0.25">
      <c r="H671">
        <v>654</v>
      </c>
      <c r="I671" t="s">
        <v>488</v>
      </c>
      <c r="J671" t="s">
        <v>178</v>
      </c>
      <c r="K671" t="s">
        <v>312</v>
      </c>
      <c r="R671">
        <v>321</v>
      </c>
      <c r="S671" t="s">
        <v>496</v>
      </c>
      <c r="T671" t="s">
        <v>181</v>
      </c>
      <c r="U671" t="s">
        <v>272</v>
      </c>
    </row>
    <row r="672" spans="8:21" x14ac:dyDescent="0.25">
      <c r="H672">
        <v>629</v>
      </c>
      <c r="I672" t="s">
        <v>343</v>
      </c>
      <c r="J672" t="s">
        <v>258</v>
      </c>
      <c r="K672" t="s">
        <v>312</v>
      </c>
      <c r="R672">
        <v>335</v>
      </c>
      <c r="S672" t="s">
        <v>344</v>
      </c>
      <c r="T672" t="s">
        <v>179</v>
      </c>
      <c r="U672" t="s">
        <v>272</v>
      </c>
    </row>
    <row r="673" spans="8:21" x14ac:dyDescent="0.25">
      <c r="H673">
        <v>627</v>
      </c>
      <c r="I673" t="s">
        <v>130</v>
      </c>
      <c r="J673" t="s">
        <v>258</v>
      </c>
      <c r="K673" t="s">
        <v>312</v>
      </c>
      <c r="R673">
        <v>335</v>
      </c>
      <c r="S673" t="s">
        <v>344</v>
      </c>
      <c r="T673" t="s">
        <v>179</v>
      </c>
      <c r="U673" t="s">
        <v>272</v>
      </c>
    </row>
    <row r="674" spans="8:21" x14ac:dyDescent="0.25">
      <c r="H674">
        <v>628</v>
      </c>
      <c r="I674" t="s">
        <v>489</v>
      </c>
      <c r="J674" t="s">
        <v>258</v>
      </c>
      <c r="K674" t="s">
        <v>312</v>
      </c>
      <c r="R674">
        <v>664</v>
      </c>
      <c r="S674" t="s">
        <v>660</v>
      </c>
      <c r="T674" t="s">
        <v>258</v>
      </c>
      <c r="U674" t="s">
        <v>272</v>
      </c>
    </row>
    <row r="675" spans="8:21" x14ac:dyDescent="0.25">
      <c r="H675">
        <v>630</v>
      </c>
      <c r="I675" t="s">
        <v>344</v>
      </c>
      <c r="J675" t="s">
        <v>258</v>
      </c>
      <c r="K675" t="s">
        <v>312</v>
      </c>
      <c r="R675">
        <v>664</v>
      </c>
      <c r="S675" t="s">
        <v>660</v>
      </c>
      <c r="T675" t="s">
        <v>258</v>
      </c>
      <c r="U675" t="s">
        <v>272</v>
      </c>
    </row>
    <row r="676" spans="8:21" x14ac:dyDescent="0.25">
      <c r="H676">
        <v>643</v>
      </c>
      <c r="I676" t="s">
        <v>797</v>
      </c>
      <c r="J676" t="s">
        <v>179</v>
      </c>
      <c r="K676" t="s">
        <v>312</v>
      </c>
      <c r="R676">
        <v>314</v>
      </c>
      <c r="S676" t="s">
        <v>162</v>
      </c>
      <c r="T676" t="s">
        <v>258</v>
      </c>
      <c r="U676" t="s">
        <v>272</v>
      </c>
    </row>
    <row r="677" spans="8:21" x14ac:dyDescent="0.25">
      <c r="H677">
        <v>649</v>
      </c>
      <c r="I677" t="s">
        <v>490</v>
      </c>
      <c r="J677" t="s">
        <v>179</v>
      </c>
      <c r="K677" t="s">
        <v>312</v>
      </c>
      <c r="R677">
        <v>314</v>
      </c>
      <c r="S677" t="s">
        <v>162</v>
      </c>
      <c r="T677" t="s">
        <v>258</v>
      </c>
      <c r="U677" t="s">
        <v>272</v>
      </c>
    </row>
    <row r="678" spans="8:21" x14ac:dyDescent="0.25">
      <c r="H678">
        <v>644</v>
      </c>
      <c r="I678" t="s">
        <v>491</v>
      </c>
      <c r="J678" t="s">
        <v>179</v>
      </c>
      <c r="K678" t="s">
        <v>312</v>
      </c>
      <c r="R678">
        <v>332</v>
      </c>
      <c r="S678" t="s">
        <v>332</v>
      </c>
      <c r="T678" t="s">
        <v>179</v>
      </c>
      <c r="U678" t="s">
        <v>272</v>
      </c>
    </row>
    <row r="679" spans="8:21" x14ac:dyDescent="0.25">
      <c r="H679">
        <v>650</v>
      </c>
      <c r="I679" t="s">
        <v>492</v>
      </c>
      <c r="J679" t="s">
        <v>179</v>
      </c>
      <c r="K679" t="s">
        <v>312</v>
      </c>
      <c r="R679">
        <v>332</v>
      </c>
      <c r="S679" t="s">
        <v>332</v>
      </c>
      <c r="T679" t="s">
        <v>179</v>
      </c>
      <c r="U679" t="s">
        <v>272</v>
      </c>
    </row>
    <row r="680" spans="8:21" x14ac:dyDescent="0.25">
      <c r="H680">
        <v>651</v>
      </c>
      <c r="I680" t="s">
        <v>471</v>
      </c>
      <c r="J680" t="s">
        <v>179</v>
      </c>
      <c r="K680" t="s">
        <v>312</v>
      </c>
      <c r="R680">
        <v>338</v>
      </c>
      <c r="S680" t="s">
        <v>132</v>
      </c>
      <c r="T680" t="s">
        <v>178</v>
      </c>
      <c r="U680" t="s">
        <v>272</v>
      </c>
    </row>
    <row r="681" spans="8:21" x14ac:dyDescent="0.25">
      <c r="H681">
        <v>645</v>
      </c>
      <c r="I681" t="s">
        <v>798</v>
      </c>
      <c r="J681" t="s">
        <v>179</v>
      </c>
      <c r="K681" t="s">
        <v>312</v>
      </c>
      <c r="R681">
        <v>338</v>
      </c>
      <c r="S681" t="s">
        <v>132</v>
      </c>
      <c r="T681" t="s">
        <v>178</v>
      </c>
      <c r="U681" t="s">
        <v>272</v>
      </c>
    </row>
    <row r="682" spans="8:21" x14ac:dyDescent="0.25">
      <c r="H682">
        <v>646</v>
      </c>
      <c r="I682" t="s">
        <v>799</v>
      </c>
      <c r="J682" t="s">
        <v>179</v>
      </c>
      <c r="K682" t="s">
        <v>312</v>
      </c>
      <c r="R682">
        <v>337</v>
      </c>
      <c r="S682" t="s">
        <v>429</v>
      </c>
      <c r="T682" t="s">
        <v>178</v>
      </c>
      <c r="U682" t="s">
        <v>272</v>
      </c>
    </row>
    <row r="683" spans="8:21" x14ac:dyDescent="0.25">
      <c r="H683">
        <v>652</v>
      </c>
      <c r="I683" t="s">
        <v>493</v>
      </c>
      <c r="J683" t="s">
        <v>179</v>
      </c>
      <c r="K683" t="s">
        <v>312</v>
      </c>
      <c r="R683">
        <v>337</v>
      </c>
      <c r="S683" t="s">
        <v>819</v>
      </c>
      <c r="T683" t="s">
        <v>178</v>
      </c>
      <c r="U683" t="s">
        <v>272</v>
      </c>
    </row>
    <row r="684" spans="8:21" x14ac:dyDescent="0.25">
      <c r="H684">
        <v>647</v>
      </c>
      <c r="I684" t="s">
        <v>329</v>
      </c>
      <c r="J684" t="s">
        <v>179</v>
      </c>
      <c r="K684" t="s">
        <v>312</v>
      </c>
      <c r="R684">
        <v>336</v>
      </c>
      <c r="S684" t="s">
        <v>134</v>
      </c>
      <c r="T684" t="s">
        <v>179</v>
      </c>
      <c r="U684" t="s">
        <v>272</v>
      </c>
    </row>
    <row r="685" spans="8:21" x14ac:dyDescent="0.25">
      <c r="H685">
        <v>642</v>
      </c>
      <c r="I685" t="s">
        <v>315</v>
      </c>
      <c r="J685" t="s">
        <v>179</v>
      </c>
      <c r="K685" t="s">
        <v>312</v>
      </c>
      <c r="R685">
        <v>336</v>
      </c>
      <c r="S685" t="s">
        <v>134</v>
      </c>
      <c r="T685" t="s">
        <v>179</v>
      </c>
      <c r="U685" t="s">
        <v>272</v>
      </c>
    </row>
    <row r="686" spans="8:21" x14ac:dyDescent="0.25">
      <c r="H686">
        <v>653</v>
      </c>
      <c r="I686" t="s">
        <v>335</v>
      </c>
      <c r="J686" t="s">
        <v>179</v>
      </c>
      <c r="K686" t="s">
        <v>312</v>
      </c>
      <c r="R686">
        <v>316</v>
      </c>
      <c r="S686" t="s">
        <v>101</v>
      </c>
      <c r="T686" t="s">
        <v>181</v>
      </c>
      <c r="U686" t="s">
        <v>272</v>
      </c>
    </row>
    <row r="687" spans="8:21" x14ac:dyDescent="0.25">
      <c r="H687">
        <v>663</v>
      </c>
      <c r="I687" t="s">
        <v>800</v>
      </c>
      <c r="J687" t="s">
        <v>179</v>
      </c>
      <c r="K687" t="s">
        <v>312</v>
      </c>
      <c r="R687">
        <v>316</v>
      </c>
      <c r="S687" t="s">
        <v>101</v>
      </c>
      <c r="T687" t="s">
        <v>181</v>
      </c>
      <c r="U687" t="s">
        <v>272</v>
      </c>
    </row>
    <row r="688" spans="8:21" x14ac:dyDescent="0.25">
      <c r="H688">
        <v>648</v>
      </c>
      <c r="I688" t="s">
        <v>801</v>
      </c>
      <c r="J688" t="s">
        <v>179</v>
      </c>
      <c r="K688" t="s">
        <v>312</v>
      </c>
      <c r="R688">
        <v>328</v>
      </c>
      <c r="S688" t="s">
        <v>365</v>
      </c>
      <c r="T688" t="s">
        <v>179</v>
      </c>
      <c r="U688" t="s">
        <v>272</v>
      </c>
    </row>
    <row r="689" spans="18:21" x14ac:dyDescent="0.25">
      <c r="R689">
        <v>328</v>
      </c>
      <c r="S689" t="s">
        <v>365</v>
      </c>
      <c r="T689" t="s">
        <v>179</v>
      </c>
      <c r="U689" t="s">
        <v>272</v>
      </c>
    </row>
    <row r="690" spans="18:21" x14ac:dyDescent="0.25">
      <c r="R690">
        <v>325</v>
      </c>
      <c r="S690" t="s">
        <v>124</v>
      </c>
      <c r="T690" t="s">
        <v>179</v>
      </c>
      <c r="U690" t="s">
        <v>272</v>
      </c>
    </row>
    <row r="691" spans="18:21" x14ac:dyDescent="0.25">
      <c r="R691">
        <v>325</v>
      </c>
      <c r="S691" t="s">
        <v>124</v>
      </c>
      <c r="T691" t="s">
        <v>179</v>
      </c>
      <c r="U691" t="s">
        <v>272</v>
      </c>
    </row>
    <row r="692" spans="18:21" x14ac:dyDescent="0.25">
      <c r="R692">
        <v>322</v>
      </c>
      <c r="S692" t="s">
        <v>106</v>
      </c>
      <c r="T692" t="s">
        <v>181</v>
      </c>
      <c r="U692" t="s">
        <v>272</v>
      </c>
    </row>
    <row r="693" spans="18:21" x14ac:dyDescent="0.25">
      <c r="R693">
        <v>322</v>
      </c>
      <c r="S693" t="s">
        <v>106</v>
      </c>
      <c r="T693" t="s">
        <v>181</v>
      </c>
      <c r="U693" t="s">
        <v>272</v>
      </c>
    </row>
    <row r="694" spans="18:21" x14ac:dyDescent="0.25">
      <c r="R694">
        <v>329</v>
      </c>
      <c r="S694" t="s">
        <v>19</v>
      </c>
      <c r="T694" t="s">
        <v>179</v>
      </c>
      <c r="U694" t="s">
        <v>272</v>
      </c>
    </row>
    <row r="695" spans="18:21" x14ac:dyDescent="0.25">
      <c r="R695">
        <v>329</v>
      </c>
      <c r="S695" t="s">
        <v>19</v>
      </c>
      <c r="T695" t="s">
        <v>179</v>
      </c>
      <c r="U695" t="s">
        <v>272</v>
      </c>
    </row>
    <row r="696" spans="18:21" x14ac:dyDescent="0.25">
      <c r="R696">
        <v>350</v>
      </c>
      <c r="S696" t="s">
        <v>679</v>
      </c>
      <c r="T696" t="s">
        <v>179</v>
      </c>
      <c r="U696" t="s">
        <v>663</v>
      </c>
    </row>
    <row r="697" spans="18:21" x14ac:dyDescent="0.25">
      <c r="R697">
        <v>350</v>
      </c>
      <c r="S697" t="s">
        <v>679</v>
      </c>
      <c r="T697" t="s">
        <v>179</v>
      </c>
      <c r="U697" t="s">
        <v>663</v>
      </c>
    </row>
    <row r="698" spans="18:21" x14ac:dyDescent="0.25">
      <c r="R698">
        <v>354</v>
      </c>
      <c r="S698" t="s">
        <v>680</v>
      </c>
      <c r="T698" t="s">
        <v>179</v>
      </c>
      <c r="U698" t="s">
        <v>663</v>
      </c>
    </row>
    <row r="699" spans="18:21" x14ac:dyDescent="0.25">
      <c r="R699">
        <v>354</v>
      </c>
      <c r="S699" t="s">
        <v>680</v>
      </c>
      <c r="T699" t="s">
        <v>179</v>
      </c>
      <c r="U699" t="s">
        <v>663</v>
      </c>
    </row>
    <row r="700" spans="18:21" x14ac:dyDescent="0.25">
      <c r="R700">
        <v>363</v>
      </c>
      <c r="S700" t="s">
        <v>671</v>
      </c>
      <c r="T700" t="s">
        <v>178</v>
      </c>
      <c r="U700" t="s">
        <v>663</v>
      </c>
    </row>
    <row r="701" spans="18:21" x14ac:dyDescent="0.25">
      <c r="R701">
        <v>363</v>
      </c>
      <c r="S701" t="s">
        <v>671</v>
      </c>
      <c r="T701" t="s">
        <v>178</v>
      </c>
      <c r="U701" t="s">
        <v>663</v>
      </c>
    </row>
    <row r="702" spans="18:21" x14ac:dyDescent="0.25">
      <c r="R702">
        <v>344</v>
      </c>
      <c r="S702" t="s">
        <v>662</v>
      </c>
      <c r="T702" t="s">
        <v>181</v>
      </c>
      <c r="U702" t="s">
        <v>663</v>
      </c>
    </row>
    <row r="703" spans="18:21" x14ac:dyDescent="0.25">
      <c r="R703">
        <v>344</v>
      </c>
      <c r="S703" t="s">
        <v>662</v>
      </c>
      <c r="T703" t="s">
        <v>181</v>
      </c>
      <c r="U703" t="s">
        <v>663</v>
      </c>
    </row>
    <row r="704" spans="18:21" x14ac:dyDescent="0.25">
      <c r="R704">
        <v>342</v>
      </c>
      <c r="S704" t="s">
        <v>664</v>
      </c>
      <c r="T704" t="s">
        <v>181</v>
      </c>
      <c r="U704" t="s">
        <v>663</v>
      </c>
    </row>
    <row r="705" spans="18:21" x14ac:dyDescent="0.25">
      <c r="R705">
        <v>342</v>
      </c>
      <c r="S705" t="s">
        <v>664</v>
      </c>
      <c r="T705" t="s">
        <v>181</v>
      </c>
      <c r="U705" t="s">
        <v>663</v>
      </c>
    </row>
    <row r="706" spans="18:21" x14ac:dyDescent="0.25">
      <c r="R706">
        <v>345</v>
      </c>
      <c r="S706" t="s">
        <v>665</v>
      </c>
      <c r="T706" t="s">
        <v>181</v>
      </c>
      <c r="U706" t="s">
        <v>663</v>
      </c>
    </row>
    <row r="707" spans="18:21" x14ac:dyDescent="0.25">
      <c r="R707">
        <v>345</v>
      </c>
      <c r="S707" t="s">
        <v>665</v>
      </c>
      <c r="T707" t="s">
        <v>181</v>
      </c>
      <c r="U707" t="s">
        <v>663</v>
      </c>
    </row>
    <row r="708" spans="18:21" x14ac:dyDescent="0.25">
      <c r="R708">
        <v>346</v>
      </c>
      <c r="S708" t="s">
        <v>666</v>
      </c>
      <c r="T708" t="s">
        <v>181</v>
      </c>
      <c r="U708" t="s">
        <v>663</v>
      </c>
    </row>
    <row r="709" spans="18:21" x14ac:dyDescent="0.25">
      <c r="R709">
        <v>346</v>
      </c>
      <c r="S709" t="s">
        <v>666</v>
      </c>
      <c r="T709" t="s">
        <v>181</v>
      </c>
      <c r="U709" t="s">
        <v>663</v>
      </c>
    </row>
    <row r="710" spans="18:21" x14ac:dyDescent="0.25">
      <c r="R710">
        <v>340</v>
      </c>
      <c r="S710" t="s">
        <v>675</v>
      </c>
      <c r="T710" t="s">
        <v>258</v>
      </c>
      <c r="U710" t="s">
        <v>663</v>
      </c>
    </row>
    <row r="711" spans="18:21" x14ac:dyDescent="0.25">
      <c r="R711">
        <v>340</v>
      </c>
      <c r="S711" t="s">
        <v>675</v>
      </c>
      <c r="T711" t="s">
        <v>258</v>
      </c>
      <c r="U711" t="s">
        <v>663</v>
      </c>
    </row>
    <row r="712" spans="18:21" x14ac:dyDescent="0.25">
      <c r="R712">
        <v>359</v>
      </c>
      <c r="S712" t="s">
        <v>681</v>
      </c>
      <c r="T712" t="s">
        <v>179</v>
      </c>
      <c r="U712" t="s">
        <v>663</v>
      </c>
    </row>
    <row r="713" spans="18:21" x14ac:dyDescent="0.25">
      <c r="R713">
        <v>359</v>
      </c>
      <c r="S713" t="s">
        <v>681</v>
      </c>
      <c r="T713" t="s">
        <v>179</v>
      </c>
      <c r="U713" t="s">
        <v>663</v>
      </c>
    </row>
    <row r="714" spans="18:21" x14ac:dyDescent="0.25">
      <c r="R714">
        <v>341</v>
      </c>
      <c r="S714" t="s">
        <v>676</v>
      </c>
      <c r="T714" t="s">
        <v>258</v>
      </c>
      <c r="U714" t="s">
        <v>663</v>
      </c>
    </row>
    <row r="715" spans="18:21" x14ac:dyDescent="0.25">
      <c r="R715">
        <v>341</v>
      </c>
      <c r="S715" t="s">
        <v>676</v>
      </c>
      <c r="T715" t="s">
        <v>258</v>
      </c>
      <c r="U715" t="s">
        <v>663</v>
      </c>
    </row>
    <row r="716" spans="18:21" x14ac:dyDescent="0.25">
      <c r="R716">
        <v>360</v>
      </c>
      <c r="S716" t="s">
        <v>682</v>
      </c>
      <c r="T716" t="s">
        <v>179</v>
      </c>
      <c r="U716" t="s">
        <v>663</v>
      </c>
    </row>
    <row r="717" spans="18:21" x14ac:dyDescent="0.25">
      <c r="R717">
        <v>360</v>
      </c>
      <c r="S717" t="s">
        <v>682</v>
      </c>
      <c r="T717" t="s">
        <v>179</v>
      </c>
      <c r="U717" t="s">
        <v>663</v>
      </c>
    </row>
    <row r="718" spans="18:21" x14ac:dyDescent="0.25">
      <c r="R718">
        <v>351</v>
      </c>
      <c r="S718" t="s">
        <v>683</v>
      </c>
      <c r="T718" t="s">
        <v>179</v>
      </c>
      <c r="U718" t="s">
        <v>663</v>
      </c>
    </row>
    <row r="719" spans="18:21" x14ac:dyDescent="0.25">
      <c r="R719">
        <v>351</v>
      </c>
      <c r="S719" t="s">
        <v>683</v>
      </c>
      <c r="T719" t="s">
        <v>179</v>
      </c>
      <c r="U719" t="s">
        <v>663</v>
      </c>
    </row>
    <row r="720" spans="18:21" x14ac:dyDescent="0.25">
      <c r="R720">
        <v>355</v>
      </c>
      <c r="S720" t="s">
        <v>684</v>
      </c>
      <c r="T720" t="s">
        <v>179</v>
      </c>
      <c r="U720" t="s">
        <v>663</v>
      </c>
    </row>
    <row r="721" spans="18:21" x14ac:dyDescent="0.25">
      <c r="R721">
        <v>355</v>
      </c>
      <c r="S721" t="s">
        <v>684</v>
      </c>
      <c r="T721" t="s">
        <v>179</v>
      </c>
      <c r="U721" t="s">
        <v>663</v>
      </c>
    </row>
    <row r="722" spans="18:21" x14ac:dyDescent="0.25">
      <c r="R722">
        <v>356</v>
      </c>
      <c r="S722" t="s">
        <v>685</v>
      </c>
      <c r="T722" t="s">
        <v>179</v>
      </c>
      <c r="U722" t="s">
        <v>663</v>
      </c>
    </row>
    <row r="723" spans="18:21" x14ac:dyDescent="0.25">
      <c r="R723">
        <v>356</v>
      </c>
      <c r="S723" t="s">
        <v>685</v>
      </c>
      <c r="T723" t="s">
        <v>179</v>
      </c>
      <c r="U723" t="s">
        <v>663</v>
      </c>
    </row>
    <row r="724" spans="18:21" x14ac:dyDescent="0.25">
      <c r="R724">
        <v>347</v>
      </c>
      <c r="S724" t="s">
        <v>667</v>
      </c>
      <c r="T724" t="s">
        <v>181</v>
      </c>
      <c r="U724" t="s">
        <v>663</v>
      </c>
    </row>
    <row r="725" spans="18:21" x14ac:dyDescent="0.25">
      <c r="R725">
        <v>347</v>
      </c>
      <c r="S725" t="s">
        <v>667</v>
      </c>
      <c r="T725" t="s">
        <v>181</v>
      </c>
      <c r="U725" t="s">
        <v>663</v>
      </c>
    </row>
    <row r="726" spans="18:21" x14ac:dyDescent="0.25">
      <c r="R726">
        <v>361</v>
      </c>
      <c r="S726" t="s">
        <v>686</v>
      </c>
      <c r="T726" t="s">
        <v>179</v>
      </c>
      <c r="U726" t="s">
        <v>663</v>
      </c>
    </row>
    <row r="727" spans="18:21" x14ac:dyDescent="0.25">
      <c r="R727">
        <v>361</v>
      </c>
      <c r="S727" t="s">
        <v>686</v>
      </c>
      <c r="T727" t="s">
        <v>179</v>
      </c>
      <c r="U727" t="s">
        <v>663</v>
      </c>
    </row>
    <row r="728" spans="18:21" x14ac:dyDescent="0.25">
      <c r="R728">
        <v>352</v>
      </c>
      <c r="S728" t="s">
        <v>427</v>
      </c>
      <c r="T728" t="s">
        <v>179</v>
      </c>
      <c r="U728" t="s">
        <v>663</v>
      </c>
    </row>
    <row r="729" spans="18:21" x14ac:dyDescent="0.25">
      <c r="R729">
        <v>352</v>
      </c>
      <c r="S729" t="s">
        <v>427</v>
      </c>
      <c r="T729" t="s">
        <v>179</v>
      </c>
      <c r="U729" t="s">
        <v>663</v>
      </c>
    </row>
    <row r="730" spans="18:21" x14ac:dyDescent="0.25">
      <c r="R730">
        <v>353</v>
      </c>
      <c r="S730" t="s">
        <v>4</v>
      </c>
      <c r="T730" t="s">
        <v>179</v>
      </c>
      <c r="U730" t="s">
        <v>663</v>
      </c>
    </row>
    <row r="731" spans="18:21" x14ac:dyDescent="0.25">
      <c r="R731">
        <v>353</v>
      </c>
      <c r="S731" t="s">
        <v>4</v>
      </c>
      <c r="T731" t="s">
        <v>179</v>
      </c>
      <c r="U731" t="s">
        <v>663</v>
      </c>
    </row>
    <row r="732" spans="18:21" x14ac:dyDescent="0.25">
      <c r="R732">
        <v>493</v>
      </c>
      <c r="S732" t="s">
        <v>361</v>
      </c>
      <c r="T732" t="s">
        <v>179</v>
      </c>
      <c r="U732" t="s">
        <v>663</v>
      </c>
    </row>
    <row r="733" spans="18:21" x14ac:dyDescent="0.25">
      <c r="R733">
        <v>493</v>
      </c>
      <c r="S733" t="s">
        <v>361</v>
      </c>
      <c r="T733" t="s">
        <v>179</v>
      </c>
      <c r="U733" t="s">
        <v>663</v>
      </c>
    </row>
    <row r="734" spans="18:21" x14ac:dyDescent="0.25">
      <c r="R734">
        <v>364</v>
      </c>
      <c r="S734" t="s">
        <v>672</v>
      </c>
      <c r="T734" t="s">
        <v>178</v>
      </c>
      <c r="U734" t="s">
        <v>663</v>
      </c>
    </row>
    <row r="735" spans="18:21" x14ac:dyDescent="0.25">
      <c r="R735">
        <v>364</v>
      </c>
      <c r="S735" t="s">
        <v>672</v>
      </c>
      <c r="T735" t="s">
        <v>178</v>
      </c>
      <c r="U735" t="s">
        <v>663</v>
      </c>
    </row>
    <row r="736" spans="18:21" x14ac:dyDescent="0.25">
      <c r="R736">
        <v>339</v>
      </c>
      <c r="S736" t="s">
        <v>677</v>
      </c>
      <c r="T736" t="s">
        <v>258</v>
      </c>
      <c r="U736" t="s">
        <v>663</v>
      </c>
    </row>
    <row r="737" spans="18:21" x14ac:dyDescent="0.25">
      <c r="R737">
        <v>339</v>
      </c>
      <c r="S737" t="s">
        <v>677</v>
      </c>
      <c r="T737" t="s">
        <v>258</v>
      </c>
      <c r="U737" t="s">
        <v>663</v>
      </c>
    </row>
    <row r="738" spans="18:21" x14ac:dyDescent="0.25">
      <c r="R738">
        <v>365</v>
      </c>
      <c r="S738" t="s">
        <v>673</v>
      </c>
      <c r="T738" t="s">
        <v>178</v>
      </c>
      <c r="U738" t="s">
        <v>663</v>
      </c>
    </row>
    <row r="739" spans="18:21" x14ac:dyDescent="0.25">
      <c r="R739">
        <v>365</v>
      </c>
      <c r="S739" t="s">
        <v>673</v>
      </c>
      <c r="T739" t="s">
        <v>178</v>
      </c>
      <c r="U739" t="s">
        <v>663</v>
      </c>
    </row>
    <row r="740" spans="18:21" x14ac:dyDescent="0.25">
      <c r="R740">
        <v>665</v>
      </c>
      <c r="S740" t="s">
        <v>678</v>
      </c>
      <c r="T740" t="s">
        <v>258</v>
      </c>
      <c r="U740" t="s">
        <v>663</v>
      </c>
    </row>
    <row r="741" spans="18:21" x14ac:dyDescent="0.25">
      <c r="R741">
        <v>665</v>
      </c>
      <c r="S741" t="s">
        <v>678</v>
      </c>
      <c r="T741" t="s">
        <v>258</v>
      </c>
      <c r="U741" t="s">
        <v>663</v>
      </c>
    </row>
    <row r="742" spans="18:21" x14ac:dyDescent="0.25">
      <c r="R742">
        <v>362</v>
      </c>
      <c r="S742" t="s">
        <v>674</v>
      </c>
      <c r="T742" t="s">
        <v>178</v>
      </c>
      <c r="U742" t="s">
        <v>663</v>
      </c>
    </row>
    <row r="743" spans="18:21" x14ac:dyDescent="0.25">
      <c r="R743">
        <v>362</v>
      </c>
      <c r="S743" t="s">
        <v>674</v>
      </c>
      <c r="T743" t="s">
        <v>178</v>
      </c>
      <c r="U743" t="s">
        <v>663</v>
      </c>
    </row>
    <row r="744" spans="18:21" x14ac:dyDescent="0.25">
      <c r="R744">
        <v>357</v>
      </c>
      <c r="S744" t="s">
        <v>687</v>
      </c>
      <c r="T744" t="s">
        <v>179</v>
      </c>
      <c r="U744" t="s">
        <v>663</v>
      </c>
    </row>
    <row r="745" spans="18:21" x14ac:dyDescent="0.25">
      <c r="R745">
        <v>357</v>
      </c>
      <c r="S745" t="s">
        <v>687</v>
      </c>
      <c r="T745" t="s">
        <v>179</v>
      </c>
      <c r="U745" t="s">
        <v>663</v>
      </c>
    </row>
    <row r="746" spans="18:21" x14ac:dyDescent="0.25">
      <c r="R746">
        <v>348</v>
      </c>
      <c r="S746" t="s">
        <v>668</v>
      </c>
      <c r="T746" t="s">
        <v>181</v>
      </c>
      <c r="U746" t="s">
        <v>663</v>
      </c>
    </row>
    <row r="747" spans="18:21" x14ac:dyDescent="0.25">
      <c r="R747">
        <v>348</v>
      </c>
      <c r="S747" t="s">
        <v>668</v>
      </c>
      <c r="T747" t="s">
        <v>181</v>
      </c>
      <c r="U747" t="s">
        <v>663</v>
      </c>
    </row>
    <row r="748" spans="18:21" x14ac:dyDescent="0.25">
      <c r="R748">
        <v>349</v>
      </c>
      <c r="S748" t="s">
        <v>669</v>
      </c>
      <c r="T748" t="s">
        <v>181</v>
      </c>
      <c r="U748" t="s">
        <v>663</v>
      </c>
    </row>
    <row r="749" spans="18:21" x14ac:dyDescent="0.25">
      <c r="R749">
        <v>349</v>
      </c>
      <c r="S749" t="s">
        <v>669</v>
      </c>
      <c r="T749" t="s">
        <v>181</v>
      </c>
      <c r="U749" t="s">
        <v>663</v>
      </c>
    </row>
    <row r="750" spans="18:21" x14ac:dyDescent="0.25">
      <c r="R750">
        <v>660</v>
      </c>
      <c r="S750" t="s">
        <v>688</v>
      </c>
      <c r="T750" t="s">
        <v>179</v>
      </c>
      <c r="U750" t="s">
        <v>663</v>
      </c>
    </row>
    <row r="751" spans="18:21" x14ac:dyDescent="0.25">
      <c r="R751">
        <v>660</v>
      </c>
      <c r="S751" t="s">
        <v>688</v>
      </c>
      <c r="T751" t="s">
        <v>179</v>
      </c>
      <c r="U751" t="s">
        <v>663</v>
      </c>
    </row>
    <row r="752" spans="18:21" x14ac:dyDescent="0.25">
      <c r="R752">
        <v>343</v>
      </c>
      <c r="S752" t="s">
        <v>670</v>
      </c>
      <c r="T752" t="s">
        <v>181</v>
      </c>
      <c r="U752" t="s">
        <v>663</v>
      </c>
    </row>
    <row r="753" spans="18:21" x14ac:dyDescent="0.25">
      <c r="R753">
        <v>343</v>
      </c>
      <c r="S753" t="s">
        <v>670</v>
      </c>
      <c r="T753" t="s">
        <v>181</v>
      </c>
      <c r="U753" t="s">
        <v>663</v>
      </c>
    </row>
    <row r="754" spans="18:21" x14ac:dyDescent="0.25">
      <c r="R754">
        <v>358</v>
      </c>
      <c r="S754" t="s">
        <v>689</v>
      </c>
      <c r="T754" t="s">
        <v>179</v>
      </c>
      <c r="U754" t="s">
        <v>663</v>
      </c>
    </row>
    <row r="755" spans="18:21" x14ac:dyDescent="0.25">
      <c r="R755">
        <v>358</v>
      </c>
      <c r="S755" t="s">
        <v>689</v>
      </c>
      <c r="T755" t="s">
        <v>179</v>
      </c>
      <c r="U755" t="s">
        <v>663</v>
      </c>
    </row>
    <row r="756" spans="18:21" x14ac:dyDescent="0.25">
      <c r="R756">
        <v>366</v>
      </c>
      <c r="S756" t="s">
        <v>439</v>
      </c>
      <c r="T756" t="s">
        <v>258</v>
      </c>
      <c r="U756" t="s">
        <v>264</v>
      </c>
    </row>
    <row r="757" spans="18:21" x14ac:dyDescent="0.25">
      <c r="R757">
        <v>366</v>
      </c>
      <c r="S757" t="s">
        <v>439</v>
      </c>
      <c r="T757" t="s">
        <v>258</v>
      </c>
      <c r="U757" t="s">
        <v>264</v>
      </c>
    </row>
    <row r="758" spans="18:21" x14ac:dyDescent="0.25">
      <c r="R758">
        <v>393</v>
      </c>
      <c r="S758" t="s">
        <v>334</v>
      </c>
      <c r="T758" t="s">
        <v>179</v>
      </c>
      <c r="U758" t="s">
        <v>264</v>
      </c>
    </row>
    <row r="759" spans="18:21" x14ac:dyDescent="0.25">
      <c r="R759">
        <v>393</v>
      </c>
      <c r="S759" t="s">
        <v>334</v>
      </c>
      <c r="T759" t="s">
        <v>179</v>
      </c>
      <c r="U759" t="s">
        <v>264</v>
      </c>
    </row>
    <row r="760" spans="18:21" x14ac:dyDescent="0.25">
      <c r="R760">
        <v>375</v>
      </c>
      <c r="S760" t="s">
        <v>437</v>
      </c>
      <c r="T760" t="s">
        <v>181</v>
      </c>
      <c r="U760" t="s">
        <v>264</v>
      </c>
    </row>
    <row r="761" spans="18:21" x14ac:dyDescent="0.25">
      <c r="R761">
        <v>375</v>
      </c>
      <c r="S761" t="s">
        <v>437</v>
      </c>
      <c r="T761" t="s">
        <v>181</v>
      </c>
      <c r="U761" t="s">
        <v>264</v>
      </c>
    </row>
    <row r="762" spans="18:21" x14ac:dyDescent="0.25">
      <c r="R762">
        <v>388</v>
      </c>
      <c r="S762" t="s">
        <v>698</v>
      </c>
      <c r="T762" t="s">
        <v>179</v>
      </c>
      <c r="U762" t="s">
        <v>264</v>
      </c>
    </row>
    <row r="763" spans="18:21" x14ac:dyDescent="0.25">
      <c r="R763">
        <v>388</v>
      </c>
      <c r="S763" t="s">
        <v>698</v>
      </c>
      <c r="T763" t="s">
        <v>179</v>
      </c>
      <c r="U763" t="s">
        <v>264</v>
      </c>
    </row>
    <row r="764" spans="18:21" x14ac:dyDescent="0.25">
      <c r="R764">
        <v>385</v>
      </c>
      <c r="S764" t="s">
        <v>699</v>
      </c>
      <c r="T764" t="s">
        <v>179</v>
      </c>
      <c r="U764" t="s">
        <v>264</v>
      </c>
    </row>
    <row r="765" spans="18:21" x14ac:dyDescent="0.25">
      <c r="R765">
        <v>385</v>
      </c>
      <c r="S765" t="s">
        <v>699</v>
      </c>
      <c r="T765" t="s">
        <v>179</v>
      </c>
      <c r="U765" t="s">
        <v>264</v>
      </c>
    </row>
    <row r="766" spans="18:21" x14ac:dyDescent="0.25">
      <c r="R766">
        <v>398</v>
      </c>
      <c r="S766" t="s">
        <v>693</v>
      </c>
      <c r="T766" t="s">
        <v>178</v>
      </c>
      <c r="U766" t="s">
        <v>264</v>
      </c>
    </row>
    <row r="767" spans="18:21" x14ac:dyDescent="0.25">
      <c r="R767">
        <v>398</v>
      </c>
      <c r="S767" t="s">
        <v>693</v>
      </c>
      <c r="T767" t="s">
        <v>178</v>
      </c>
      <c r="U767" t="s">
        <v>264</v>
      </c>
    </row>
    <row r="768" spans="18:21" x14ac:dyDescent="0.25">
      <c r="R768">
        <v>397</v>
      </c>
      <c r="S768" t="s">
        <v>8</v>
      </c>
      <c r="T768" t="s">
        <v>178</v>
      </c>
      <c r="U768" t="s">
        <v>264</v>
      </c>
    </row>
    <row r="769" spans="18:21" x14ac:dyDescent="0.25">
      <c r="R769">
        <v>397</v>
      </c>
      <c r="S769" t="s">
        <v>8</v>
      </c>
      <c r="T769" t="s">
        <v>178</v>
      </c>
      <c r="U769" t="s">
        <v>264</v>
      </c>
    </row>
    <row r="770" spans="18:21" x14ac:dyDescent="0.25">
      <c r="R770">
        <v>391</v>
      </c>
      <c r="S770" t="s">
        <v>441</v>
      </c>
      <c r="T770" t="s">
        <v>179</v>
      </c>
      <c r="U770" t="s">
        <v>264</v>
      </c>
    </row>
    <row r="771" spans="18:21" x14ac:dyDescent="0.25">
      <c r="R771">
        <v>391</v>
      </c>
      <c r="S771" t="s">
        <v>441</v>
      </c>
      <c r="T771" t="s">
        <v>179</v>
      </c>
      <c r="U771" t="s">
        <v>264</v>
      </c>
    </row>
    <row r="772" spans="18:21" x14ac:dyDescent="0.25">
      <c r="R772">
        <v>661</v>
      </c>
      <c r="S772" t="s">
        <v>694</v>
      </c>
      <c r="T772" t="s">
        <v>178</v>
      </c>
      <c r="U772" t="s">
        <v>264</v>
      </c>
    </row>
    <row r="773" spans="18:21" x14ac:dyDescent="0.25">
      <c r="R773">
        <v>661</v>
      </c>
      <c r="S773" t="s">
        <v>822</v>
      </c>
      <c r="T773" t="s">
        <v>178</v>
      </c>
      <c r="U773" t="s">
        <v>264</v>
      </c>
    </row>
    <row r="774" spans="18:21" x14ac:dyDescent="0.25">
      <c r="R774">
        <v>389</v>
      </c>
      <c r="S774" t="s">
        <v>144</v>
      </c>
      <c r="T774" t="s">
        <v>179</v>
      </c>
      <c r="U774" t="s">
        <v>264</v>
      </c>
    </row>
    <row r="775" spans="18:21" x14ac:dyDescent="0.25">
      <c r="R775">
        <v>389</v>
      </c>
      <c r="S775" t="s">
        <v>144</v>
      </c>
      <c r="T775" t="s">
        <v>179</v>
      </c>
      <c r="U775" t="s">
        <v>264</v>
      </c>
    </row>
    <row r="776" spans="18:21" x14ac:dyDescent="0.25">
      <c r="R776">
        <v>392</v>
      </c>
      <c r="S776" t="s">
        <v>442</v>
      </c>
      <c r="T776" t="s">
        <v>179</v>
      </c>
      <c r="U776" t="s">
        <v>264</v>
      </c>
    </row>
    <row r="777" spans="18:21" x14ac:dyDescent="0.25">
      <c r="R777">
        <v>392</v>
      </c>
      <c r="S777" t="s">
        <v>442</v>
      </c>
      <c r="T777" t="s">
        <v>179</v>
      </c>
      <c r="U777" t="s">
        <v>264</v>
      </c>
    </row>
    <row r="778" spans="18:21" x14ac:dyDescent="0.25">
      <c r="R778">
        <v>370</v>
      </c>
      <c r="S778" t="s">
        <v>690</v>
      </c>
      <c r="T778" t="s">
        <v>181</v>
      </c>
      <c r="U778" t="s">
        <v>264</v>
      </c>
    </row>
    <row r="779" spans="18:21" x14ac:dyDescent="0.25">
      <c r="R779">
        <v>370</v>
      </c>
      <c r="S779" t="s">
        <v>690</v>
      </c>
      <c r="T779" t="s">
        <v>181</v>
      </c>
      <c r="U779" t="s">
        <v>264</v>
      </c>
    </row>
    <row r="780" spans="18:21" x14ac:dyDescent="0.25">
      <c r="R780">
        <v>384</v>
      </c>
      <c r="S780" t="s">
        <v>304</v>
      </c>
      <c r="T780" t="s">
        <v>179</v>
      </c>
      <c r="U780" t="s">
        <v>264</v>
      </c>
    </row>
    <row r="781" spans="18:21" x14ac:dyDescent="0.25">
      <c r="R781">
        <v>384</v>
      </c>
      <c r="S781" t="s">
        <v>304</v>
      </c>
      <c r="T781" t="s">
        <v>179</v>
      </c>
      <c r="U781" t="s">
        <v>264</v>
      </c>
    </row>
    <row r="782" spans="18:21" x14ac:dyDescent="0.25">
      <c r="R782">
        <v>376</v>
      </c>
      <c r="S782" t="s">
        <v>148</v>
      </c>
      <c r="T782" t="s">
        <v>181</v>
      </c>
      <c r="U782" t="s">
        <v>264</v>
      </c>
    </row>
    <row r="783" spans="18:21" x14ac:dyDescent="0.25">
      <c r="R783">
        <v>376</v>
      </c>
      <c r="S783" t="s">
        <v>148</v>
      </c>
      <c r="T783" t="s">
        <v>181</v>
      </c>
      <c r="U783" t="s">
        <v>264</v>
      </c>
    </row>
    <row r="784" spans="18:21" x14ac:dyDescent="0.25">
      <c r="R784">
        <v>390</v>
      </c>
      <c r="S784" t="s">
        <v>443</v>
      </c>
      <c r="T784" t="s">
        <v>179</v>
      </c>
      <c r="U784" t="s">
        <v>264</v>
      </c>
    </row>
    <row r="785" spans="18:21" x14ac:dyDescent="0.25">
      <c r="R785">
        <v>390</v>
      </c>
      <c r="S785" t="s">
        <v>443</v>
      </c>
      <c r="T785" t="s">
        <v>179</v>
      </c>
      <c r="U785" t="s">
        <v>264</v>
      </c>
    </row>
    <row r="786" spans="18:21" x14ac:dyDescent="0.25">
      <c r="R786">
        <v>371</v>
      </c>
      <c r="S786" t="s">
        <v>358</v>
      </c>
      <c r="T786" t="s">
        <v>181</v>
      </c>
      <c r="U786" t="s">
        <v>264</v>
      </c>
    </row>
    <row r="787" spans="18:21" x14ac:dyDescent="0.25">
      <c r="R787">
        <v>371</v>
      </c>
      <c r="S787" t="s">
        <v>358</v>
      </c>
      <c r="T787" t="s">
        <v>181</v>
      </c>
      <c r="U787" t="s">
        <v>264</v>
      </c>
    </row>
    <row r="788" spans="18:21" x14ac:dyDescent="0.25">
      <c r="R788">
        <v>374</v>
      </c>
      <c r="S788" t="s">
        <v>127</v>
      </c>
      <c r="T788" t="s">
        <v>181</v>
      </c>
      <c r="U788" t="s">
        <v>264</v>
      </c>
    </row>
    <row r="789" spans="18:21" x14ac:dyDescent="0.25">
      <c r="R789">
        <v>374</v>
      </c>
      <c r="S789" t="s">
        <v>818</v>
      </c>
      <c r="T789" t="s">
        <v>181</v>
      </c>
      <c r="U789" t="s">
        <v>264</v>
      </c>
    </row>
    <row r="790" spans="18:21" x14ac:dyDescent="0.25">
      <c r="R790">
        <v>383</v>
      </c>
      <c r="S790" t="s">
        <v>5</v>
      </c>
      <c r="T790" t="s">
        <v>179</v>
      </c>
      <c r="U790" t="s">
        <v>264</v>
      </c>
    </row>
    <row r="791" spans="18:21" x14ac:dyDescent="0.25">
      <c r="R791">
        <v>383</v>
      </c>
      <c r="S791" t="s">
        <v>817</v>
      </c>
      <c r="T791" t="s">
        <v>179</v>
      </c>
      <c r="U791" t="s">
        <v>264</v>
      </c>
    </row>
    <row r="792" spans="18:21" x14ac:dyDescent="0.25">
      <c r="R792">
        <v>381</v>
      </c>
      <c r="S792" t="s">
        <v>444</v>
      </c>
      <c r="T792" t="s">
        <v>179</v>
      </c>
      <c r="U792" t="s">
        <v>264</v>
      </c>
    </row>
    <row r="793" spans="18:21" x14ac:dyDescent="0.25">
      <c r="R793">
        <v>381</v>
      </c>
      <c r="S793" t="s">
        <v>444</v>
      </c>
      <c r="T793" t="s">
        <v>179</v>
      </c>
      <c r="U793" t="s">
        <v>264</v>
      </c>
    </row>
    <row r="794" spans="18:21" x14ac:dyDescent="0.25">
      <c r="R794">
        <v>386</v>
      </c>
      <c r="S794" t="s">
        <v>43</v>
      </c>
      <c r="T794" t="s">
        <v>179</v>
      </c>
      <c r="U794" t="s">
        <v>264</v>
      </c>
    </row>
    <row r="795" spans="18:21" x14ac:dyDescent="0.25">
      <c r="R795">
        <v>386</v>
      </c>
      <c r="S795" t="s">
        <v>43</v>
      </c>
      <c r="T795" t="s">
        <v>179</v>
      </c>
      <c r="U795" t="s">
        <v>264</v>
      </c>
    </row>
    <row r="796" spans="18:21" x14ac:dyDescent="0.25">
      <c r="R796">
        <v>367</v>
      </c>
      <c r="S796" t="s">
        <v>695</v>
      </c>
      <c r="T796" t="s">
        <v>258</v>
      </c>
      <c r="U796" t="s">
        <v>264</v>
      </c>
    </row>
    <row r="797" spans="18:21" x14ac:dyDescent="0.25">
      <c r="R797">
        <v>367</v>
      </c>
      <c r="S797" t="s">
        <v>695</v>
      </c>
      <c r="T797" t="s">
        <v>258</v>
      </c>
      <c r="U797" t="s">
        <v>264</v>
      </c>
    </row>
    <row r="798" spans="18:21" x14ac:dyDescent="0.25">
      <c r="R798">
        <v>394</v>
      </c>
      <c r="S798" t="s">
        <v>445</v>
      </c>
      <c r="T798" t="s">
        <v>179</v>
      </c>
      <c r="U798" t="s">
        <v>264</v>
      </c>
    </row>
    <row r="799" spans="18:21" x14ac:dyDescent="0.25">
      <c r="R799">
        <v>394</v>
      </c>
      <c r="S799" t="s">
        <v>445</v>
      </c>
      <c r="T799" t="s">
        <v>179</v>
      </c>
      <c r="U799" t="s">
        <v>264</v>
      </c>
    </row>
    <row r="800" spans="18:21" x14ac:dyDescent="0.25">
      <c r="R800">
        <v>395</v>
      </c>
      <c r="S800" t="s">
        <v>446</v>
      </c>
      <c r="T800" t="s">
        <v>179</v>
      </c>
      <c r="U800" t="s">
        <v>264</v>
      </c>
    </row>
    <row r="801" spans="18:21" x14ac:dyDescent="0.25">
      <c r="R801">
        <v>395</v>
      </c>
      <c r="S801" t="s">
        <v>446</v>
      </c>
      <c r="T801" t="s">
        <v>179</v>
      </c>
      <c r="U801" t="s">
        <v>264</v>
      </c>
    </row>
    <row r="802" spans="18:21" x14ac:dyDescent="0.25">
      <c r="R802">
        <v>378</v>
      </c>
      <c r="S802" t="s">
        <v>691</v>
      </c>
      <c r="T802" t="s">
        <v>181</v>
      </c>
      <c r="U802" t="s">
        <v>264</v>
      </c>
    </row>
    <row r="803" spans="18:21" x14ac:dyDescent="0.25">
      <c r="R803">
        <v>378</v>
      </c>
      <c r="S803" t="s">
        <v>691</v>
      </c>
      <c r="T803" t="s">
        <v>181</v>
      </c>
      <c r="U803" t="s">
        <v>264</v>
      </c>
    </row>
    <row r="804" spans="18:21" x14ac:dyDescent="0.25">
      <c r="R804">
        <v>396</v>
      </c>
      <c r="S804" t="s">
        <v>700</v>
      </c>
      <c r="T804" t="s">
        <v>179</v>
      </c>
      <c r="U804" t="s">
        <v>264</v>
      </c>
    </row>
    <row r="805" spans="18:21" x14ac:dyDescent="0.25">
      <c r="R805">
        <v>396</v>
      </c>
      <c r="S805" t="s">
        <v>700</v>
      </c>
      <c r="T805" t="s">
        <v>179</v>
      </c>
      <c r="U805" t="s">
        <v>264</v>
      </c>
    </row>
    <row r="806" spans="18:21" x14ac:dyDescent="0.25">
      <c r="R806">
        <v>368</v>
      </c>
      <c r="S806" t="s">
        <v>696</v>
      </c>
      <c r="T806" t="s">
        <v>258</v>
      </c>
      <c r="U806" t="s">
        <v>264</v>
      </c>
    </row>
    <row r="807" spans="18:21" x14ac:dyDescent="0.25">
      <c r="R807">
        <v>368</v>
      </c>
      <c r="S807" t="s">
        <v>816</v>
      </c>
      <c r="T807" t="s">
        <v>258</v>
      </c>
      <c r="U807" t="s">
        <v>264</v>
      </c>
    </row>
    <row r="808" spans="18:21" x14ac:dyDescent="0.25">
      <c r="R808">
        <v>379</v>
      </c>
      <c r="S808" t="s">
        <v>438</v>
      </c>
      <c r="T808" t="s">
        <v>181</v>
      </c>
      <c r="U808" t="s">
        <v>264</v>
      </c>
    </row>
    <row r="809" spans="18:21" x14ac:dyDescent="0.25">
      <c r="R809">
        <v>379</v>
      </c>
      <c r="S809" t="s">
        <v>438</v>
      </c>
      <c r="T809" t="s">
        <v>181</v>
      </c>
      <c r="U809" t="s">
        <v>264</v>
      </c>
    </row>
    <row r="810" spans="18:21" x14ac:dyDescent="0.25">
      <c r="R810">
        <v>380</v>
      </c>
      <c r="S810" t="s">
        <v>692</v>
      </c>
      <c r="T810" t="s">
        <v>181</v>
      </c>
      <c r="U810" t="s">
        <v>264</v>
      </c>
    </row>
    <row r="811" spans="18:21" x14ac:dyDescent="0.25">
      <c r="R811">
        <v>380</v>
      </c>
      <c r="S811" t="s">
        <v>692</v>
      </c>
      <c r="T811" t="s">
        <v>181</v>
      </c>
      <c r="U811" t="s">
        <v>264</v>
      </c>
    </row>
    <row r="812" spans="18:21" x14ac:dyDescent="0.25">
      <c r="R812">
        <v>372</v>
      </c>
      <c r="S812" t="s">
        <v>7</v>
      </c>
      <c r="T812" t="s">
        <v>181</v>
      </c>
      <c r="U812" t="s">
        <v>264</v>
      </c>
    </row>
    <row r="813" spans="18:21" x14ac:dyDescent="0.25">
      <c r="R813">
        <v>372</v>
      </c>
      <c r="S813" t="s">
        <v>7</v>
      </c>
      <c r="T813" t="s">
        <v>181</v>
      </c>
      <c r="U813" t="s">
        <v>264</v>
      </c>
    </row>
    <row r="814" spans="18:21" x14ac:dyDescent="0.25">
      <c r="R814">
        <v>387</v>
      </c>
      <c r="S814" t="s">
        <v>284</v>
      </c>
      <c r="T814" t="s">
        <v>179</v>
      </c>
      <c r="U814" t="s">
        <v>264</v>
      </c>
    </row>
    <row r="815" spans="18:21" x14ac:dyDescent="0.25">
      <c r="R815">
        <v>387</v>
      </c>
      <c r="S815" t="s">
        <v>284</v>
      </c>
      <c r="T815" t="s">
        <v>179</v>
      </c>
      <c r="U815" t="s">
        <v>264</v>
      </c>
    </row>
    <row r="816" spans="18:21" x14ac:dyDescent="0.25">
      <c r="R816">
        <v>377</v>
      </c>
      <c r="S816" t="s">
        <v>147</v>
      </c>
      <c r="T816" t="s">
        <v>181</v>
      </c>
      <c r="U816" t="s">
        <v>264</v>
      </c>
    </row>
    <row r="817" spans="18:21" x14ac:dyDescent="0.25">
      <c r="R817">
        <v>377</v>
      </c>
      <c r="S817" t="s">
        <v>147</v>
      </c>
      <c r="T817" t="s">
        <v>181</v>
      </c>
      <c r="U817" t="s">
        <v>264</v>
      </c>
    </row>
    <row r="818" spans="18:21" x14ac:dyDescent="0.25">
      <c r="R818">
        <v>373</v>
      </c>
      <c r="S818" t="s">
        <v>292</v>
      </c>
      <c r="T818" t="s">
        <v>181</v>
      </c>
      <c r="U818" t="s">
        <v>264</v>
      </c>
    </row>
    <row r="819" spans="18:21" x14ac:dyDescent="0.25">
      <c r="R819">
        <v>373</v>
      </c>
      <c r="S819" t="s">
        <v>292</v>
      </c>
      <c r="T819" t="s">
        <v>181</v>
      </c>
      <c r="U819" t="s">
        <v>264</v>
      </c>
    </row>
    <row r="820" spans="18:21" x14ac:dyDescent="0.25">
      <c r="R820">
        <v>382</v>
      </c>
      <c r="S820" t="s">
        <v>701</v>
      </c>
      <c r="T820" t="s">
        <v>179</v>
      </c>
      <c r="U820" t="s">
        <v>264</v>
      </c>
    </row>
    <row r="821" spans="18:21" x14ac:dyDescent="0.25">
      <c r="R821">
        <v>382</v>
      </c>
      <c r="S821" t="s">
        <v>701</v>
      </c>
      <c r="T821" t="s">
        <v>179</v>
      </c>
      <c r="U821" t="s">
        <v>264</v>
      </c>
    </row>
    <row r="822" spans="18:21" x14ac:dyDescent="0.25">
      <c r="R822">
        <v>369</v>
      </c>
      <c r="S822" t="s">
        <v>697</v>
      </c>
      <c r="T822" t="s">
        <v>258</v>
      </c>
      <c r="U822" t="s">
        <v>264</v>
      </c>
    </row>
    <row r="823" spans="18:21" x14ac:dyDescent="0.25">
      <c r="R823">
        <v>369</v>
      </c>
      <c r="S823" t="s">
        <v>697</v>
      </c>
      <c r="T823" t="s">
        <v>258</v>
      </c>
      <c r="U823" t="s">
        <v>264</v>
      </c>
    </row>
    <row r="824" spans="18:21" x14ac:dyDescent="0.25">
      <c r="R824">
        <v>404</v>
      </c>
      <c r="S824" t="s">
        <v>299</v>
      </c>
      <c r="T824" t="s">
        <v>181</v>
      </c>
      <c r="U824" t="s">
        <v>262</v>
      </c>
    </row>
    <row r="825" spans="18:21" x14ac:dyDescent="0.25">
      <c r="R825">
        <v>404</v>
      </c>
      <c r="S825" t="s">
        <v>299</v>
      </c>
      <c r="T825" t="s">
        <v>181</v>
      </c>
      <c r="U825" t="s">
        <v>262</v>
      </c>
    </row>
    <row r="826" spans="18:21" x14ac:dyDescent="0.25">
      <c r="R826">
        <v>405</v>
      </c>
      <c r="S826" t="s">
        <v>39</v>
      </c>
      <c r="T826" t="s">
        <v>181</v>
      </c>
      <c r="U826" t="s">
        <v>262</v>
      </c>
    </row>
    <row r="827" spans="18:21" x14ac:dyDescent="0.25">
      <c r="R827">
        <v>405</v>
      </c>
      <c r="S827" t="s">
        <v>823</v>
      </c>
      <c r="T827" t="s">
        <v>181</v>
      </c>
      <c r="U827" t="s">
        <v>262</v>
      </c>
    </row>
    <row r="828" spans="18:21" x14ac:dyDescent="0.25">
      <c r="R828">
        <v>402</v>
      </c>
      <c r="S828" t="s">
        <v>366</v>
      </c>
      <c r="T828" t="s">
        <v>181</v>
      </c>
      <c r="U828" t="s">
        <v>262</v>
      </c>
    </row>
    <row r="829" spans="18:21" x14ac:dyDescent="0.25">
      <c r="R829">
        <v>402</v>
      </c>
      <c r="S829" t="s">
        <v>366</v>
      </c>
      <c r="T829" t="s">
        <v>181</v>
      </c>
      <c r="U829" t="s">
        <v>262</v>
      </c>
    </row>
    <row r="830" spans="18:21" x14ac:dyDescent="0.25">
      <c r="R830">
        <v>416</v>
      </c>
      <c r="S830" t="s">
        <v>16</v>
      </c>
      <c r="T830" t="s">
        <v>179</v>
      </c>
      <c r="U830" t="s">
        <v>262</v>
      </c>
    </row>
    <row r="831" spans="18:21" x14ac:dyDescent="0.25">
      <c r="R831">
        <v>416</v>
      </c>
      <c r="S831" t="s">
        <v>16</v>
      </c>
      <c r="T831" t="s">
        <v>179</v>
      </c>
      <c r="U831" t="s">
        <v>262</v>
      </c>
    </row>
    <row r="832" spans="18:21" x14ac:dyDescent="0.25">
      <c r="R832">
        <v>401</v>
      </c>
      <c r="S832" t="s">
        <v>317</v>
      </c>
      <c r="T832" t="s">
        <v>258</v>
      </c>
      <c r="U832" t="s">
        <v>262</v>
      </c>
    </row>
    <row r="833" spans="18:21" x14ac:dyDescent="0.25">
      <c r="R833">
        <v>401</v>
      </c>
      <c r="S833" t="s">
        <v>317</v>
      </c>
      <c r="T833" t="s">
        <v>258</v>
      </c>
      <c r="U833" t="s">
        <v>262</v>
      </c>
    </row>
    <row r="834" spans="18:21" x14ac:dyDescent="0.25">
      <c r="R834">
        <v>424</v>
      </c>
      <c r="S834" t="s">
        <v>337</v>
      </c>
      <c r="T834" t="s">
        <v>179</v>
      </c>
      <c r="U834" t="s">
        <v>262</v>
      </c>
    </row>
    <row r="835" spans="18:21" x14ac:dyDescent="0.25">
      <c r="R835">
        <v>424</v>
      </c>
      <c r="S835" t="s">
        <v>337</v>
      </c>
      <c r="T835" t="s">
        <v>179</v>
      </c>
      <c r="U835" t="s">
        <v>262</v>
      </c>
    </row>
    <row r="836" spans="18:21" x14ac:dyDescent="0.25">
      <c r="R836">
        <v>417</v>
      </c>
      <c r="S836" t="s">
        <v>706</v>
      </c>
      <c r="T836" t="s">
        <v>179</v>
      </c>
      <c r="U836" t="s">
        <v>262</v>
      </c>
    </row>
    <row r="837" spans="18:21" x14ac:dyDescent="0.25">
      <c r="R837">
        <v>417</v>
      </c>
      <c r="S837" t="s">
        <v>706</v>
      </c>
      <c r="T837" t="s">
        <v>179</v>
      </c>
      <c r="U837" t="s">
        <v>262</v>
      </c>
    </row>
    <row r="838" spans="18:21" x14ac:dyDescent="0.25">
      <c r="R838">
        <v>418</v>
      </c>
      <c r="S838" t="s">
        <v>449</v>
      </c>
      <c r="T838" t="s">
        <v>179</v>
      </c>
      <c r="U838" t="s">
        <v>262</v>
      </c>
    </row>
    <row r="839" spans="18:21" x14ac:dyDescent="0.25">
      <c r="R839">
        <v>418</v>
      </c>
      <c r="S839" t="s">
        <v>449</v>
      </c>
      <c r="T839" t="s">
        <v>179</v>
      </c>
      <c r="U839" t="s">
        <v>262</v>
      </c>
    </row>
    <row r="840" spans="18:21" x14ac:dyDescent="0.25">
      <c r="R840">
        <v>425</v>
      </c>
      <c r="S840" t="s">
        <v>707</v>
      </c>
      <c r="T840" t="s">
        <v>179</v>
      </c>
      <c r="U840" t="s">
        <v>262</v>
      </c>
    </row>
    <row r="841" spans="18:21" x14ac:dyDescent="0.25">
      <c r="R841">
        <v>425</v>
      </c>
      <c r="S841" t="s">
        <v>707</v>
      </c>
      <c r="T841" t="s">
        <v>179</v>
      </c>
      <c r="U841" t="s">
        <v>262</v>
      </c>
    </row>
    <row r="842" spans="18:21" x14ac:dyDescent="0.25">
      <c r="R842">
        <v>399</v>
      </c>
      <c r="S842" t="s">
        <v>276</v>
      </c>
      <c r="T842" t="s">
        <v>258</v>
      </c>
      <c r="U842" t="s">
        <v>262</v>
      </c>
    </row>
    <row r="843" spans="18:21" x14ac:dyDescent="0.25">
      <c r="R843">
        <v>399</v>
      </c>
      <c r="S843" t="s">
        <v>276</v>
      </c>
      <c r="T843" t="s">
        <v>258</v>
      </c>
      <c r="U843" t="s">
        <v>262</v>
      </c>
    </row>
    <row r="844" spans="18:21" x14ac:dyDescent="0.25">
      <c r="R844">
        <v>414</v>
      </c>
      <c r="S844" t="s">
        <v>3</v>
      </c>
      <c r="T844" t="s">
        <v>179</v>
      </c>
      <c r="U844" t="s">
        <v>262</v>
      </c>
    </row>
    <row r="845" spans="18:21" x14ac:dyDescent="0.25">
      <c r="R845">
        <v>414</v>
      </c>
      <c r="S845" t="s">
        <v>3</v>
      </c>
      <c r="T845" t="s">
        <v>179</v>
      </c>
      <c r="U845" t="s">
        <v>262</v>
      </c>
    </row>
    <row r="846" spans="18:21" x14ac:dyDescent="0.25">
      <c r="R846">
        <v>419</v>
      </c>
      <c r="S846" t="s">
        <v>73</v>
      </c>
      <c r="T846" t="s">
        <v>179</v>
      </c>
      <c r="U846" t="s">
        <v>262</v>
      </c>
    </row>
    <row r="847" spans="18:21" x14ac:dyDescent="0.25">
      <c r="R847">
        <v>420</v>
      </c>
      <c r="S847" t="s">
        <v>708</v>
      </c>
      <c r="T847" t="s">
        <v>179</v>
      </c>
      <c r="U847" t="s">
        <v>262</v>
      </c>
    </row>
    <row r="848" spans="18:21" x14ac:dyDescent="0.25">
      <c r="R848">
        <v>403</v>
      </c>
      <c r="S848" t="s">
        <v>447</v>
      </c>
      <c r="T848" t="s">
        <v>181</v>
      </c>
      <c r="U848" t="s">
        <v>262</v>
      </c>
    </row>
    <row r="849" spans="18:21" x14ac:dyDescent="0.25">
      <c r="R849">
        <v>403</v>
      </c>
      <c r="S849" t="s">
        <v>447</v>
      </c>
      <c r="T849" t="s">
        <v>181</v>
      </c>
      <c r="U849" t="s">
        <v>262</v>
      </c>
    </row>
    <row r="850" spans="18:21" x14ac:dyDescent="0.25">
      <c r="R850">
        <v>420</v>
      </c>
      <c r="S850" t="s">
        <v>824</v>
      </c>
      <c r="T850" t="s">
        <v>179</v>
      </c>
      <c r="U850" t="s">
        <v>262</v>
      </c>
    </row>
    <row r="851" spans="18:21" x14ac:dyDescent="0.25">
      <c r="R851">
        <v>430</v>
      </c>
      <c r="S851" t="s">
        <v>1</v>
      </c>
      <c r="T851" t="s">
        <v>178</v>
      </c>
      <c r="U851" t="s">
        <v>262</v>
      </c>
    </row>
    <row r="852" spans="18:21" x14ac:dyDescent="0.25">
      <c r="R852">
        <v>430</v>
      </c>
      <c r="S852" t="s">
        <v>1</v>
      </c>
      <c r="T852" t="s">
        <v>178</v>
      </c>
      <c r="U852" t="s">
        <v>262</v>
      </c>
    </row>
    <row r="853" spans="18:21" x14ac:dyDescent="0.25">
      <c r="R853">
        <v>406</v>
      </c>
      <c r="S853" t="s">
        <v>702</v>
      </c>
      <c r="T853" t="s">
        <v>181</v>
      </c>
      <c r="U853" t="s">
        <v>262</v>
      </c>
    </row>
    <row r="854" spans="18:21" x14ac:dyDescent="0.25">
      <c r="R854">
        <v>406</v>
      </c>
      <c r="S854" t="s">
        <v>702</v>
      </c>
      <c r="T854" t="s">
        <v>181</v>
      </c>
      <c r="U854" t="s">
        <v>262</v>
      </c>
    </row>
    <row r="855" spans="18:21" x14ac:dyDescent="0.25">
      <c r="R855">
        <v>422</v>
      </c>
      <c r="S855" t="s">
        <v>84</v>
      </c>
      <c r="T855" t="s">
        <v>179</v>
      </c>
      <c r="U855" t="s">
        <v>262</v>
      </c>
    </row>
    <row r="856" spans="18:21" x14ac:dyDescent="0.25">
      <c r="R856">
        <v>422</v>
      </c>
      <c r="S856" t="s">
        <v>84</v>
      </c>
      <c r="T856" t="s">
        <v>179</v>
      </c>
      <c r="U856" t="s">
        <v>262</v>
      </c>
    </row>
    <row r="857" spans="18:21" x14ac:dyDescent="0.25">
      <c r="R857">
        <v>410</v>
      </c>
      <c r="S857" t="s">
        <v>448</v>
      </c>
      <c r="T857" t="s">
        <v>181</v>
      </c>
      <c r="U857" t="s">
        <v>262</v>
      </c>
    </row>
    <row r="858" spans="18:21" x14ac:dyDescent="0.25">
      <c r="R858">
        <v>410</v>
      </c>
      <c r="S858" t="s">
        <v>448</v>
      </c>
      <c r="T858" t="s">
        <v>181</v>
      </c>
      <c r="U858" t="s">
        <v>262</v>
      </c>
    </row>
    <row r="859" spans="18:21" x14ac:dyDescent="0.25">
      <c r="R859">
        <v>413</v>
      </c>
      <c r="S859" t="s">
        <v>709</v>
      </c>
      <c r="T859" t="s">
        <v>179</v>
      </c>
      <c r="U859" t="s">
        <v>262</v>
      </c>
    </row>
    <row r="860" spans="18:21" x14ac:dyDescent="0.25">
      <c r="R860">
        <v>413</v>
      </c>
      <c r="S860" t="s">
        <v>709</v>
      </c>
      <c r="T860" t="s">
        <v>179</v>
      </c>
      <c r="U860" t="s">
        <v>262</v>
      </c>
    </row>
    <row r="861" spans="18:21" x14ac:dyDescent="0.25">
      <c r="R861">
        <v>407</v>
      </c>
      <c r="S861" t="s">
        <v>316</v>
      </c>
      <c r="T861" t="s">
        <v>181</v>
      </c>
      <c r="U861" t="s">
        <v>262</v>
      </c>
    </row>
    <row r="862" spans="18:21" x14ac:dyDescent="0.25">
      <c r="R862">
        <v>407</v>
      </c>
      <c r="S862" t="s">
        <v>316</v>
      </c>
      <c r="T862" t="s">
        <v>181</v>
      </c>
      <c r="U862" t="s">
        <v>262</v>
      </c>
    </row>
    <row r="863" spans="18:21" x14ac:dyDescent="0.25">
      <c r="R863">
        <v>426</v>
      </c>
      <c r="S863" t="s">
        <v>171</v>
      </c>
      <c r="T863" t="s">
        <v>179</v>
      </c>
      <c r="U863" t="s">
        <v>262</v>
      </c>
    </row>
    <row r="864" spans="18:21" x14ac:dyDescent="0.25">
      <c r="R864">
        <v>426</v>
      </c>
      <c r="S864" t="s">
        <v>171</v>
      </c>
      <c r="T864" t="s">
        <v>179</v>
      </c>
      <c r="U864" t="s">
        <v>262</v>
      </c>
    </row>
    <row r="865" spans="18:21" x14ac:dyDescent="0.25">
      <c r="R865">
        <v>423</v>
      </c>
      <c r="S865" t="s">
        <v>710</v>
      </c>
      <c r="T865" t="s">
        <v>179</v>
      </c>
      <c r="U865" t="s">
        <v>262</v>
      </c>
    </row>
    <row r="866" spans="18:21" x14ac:dyDescent="0.25">
      <c r="R866">
        <v>423</v>
      </c>
      <c r="S866" t="s">
        <v>710</v>
      </c>
      <c r="T866" t="s">
        <v>179</v>
      </c>
      <c r="U866" t="s">
        <v>262</v>
      </c>
    </row>
    <row r="867" spans="18:21" x14ac:dyDescent="0.25">
      <c r="R867">
        <v>428</v>
      </c>
      <c r="S867" t="s">
        <v>711</v>
      </c>
      <c r="T867" t="s">
        <v>179</v>
      </c>
      <c r="U867" t="s">
        <v>262</v>
      </c>
    </row>
    <row r="868" spans="18:21" x14ac:dyDescent="0.25">
      <c r="R868">
        <v>428</v>
      </c>
      <c r="S868" t="s">
        <v>711</v>
      </c>
      <c r="T868" t="s">
        <v>179</v>
      </c>
      <c r="U868" t="s">
        <v>262</v>
      </c>
    </row>
    <row r="869" spans="18:21" x14ac:dyDescent="0.25">
      <c r="R869">
        <v>400</v>
      </c>
      <c r="S869" t="s">
        <v>336</v>
      </c>
      <c r="T869" t="s">
        <v>258</v>
      </c>
      <c r="U869" t="s">
        <v>262</v>
      </c>
    </row>
    <row r="870" spans="18:21" x14ac:dyDescent="0.25">
      <c r="R870">
        <v>400</v>
      </c>
      <c r="S870" t="s">
        <v>336</v>
      </c>
      <c r="T870" t="s">
        <v>258</v>
      </c>
      <c r="U870" t="s">
        <v>262</v>
      </c>
    </row>
    <row r="871" spans="18:21" x14ac:dyDescent="0.25">
      <c r="R871">
        <v>411</v>
      </c>
      <c r="S871" t="s">
        <v>703</v>
      </c>
      <c r="T871" t="s">
        <v>181</v>
      </c>
      <c r="U871" t="s">
        <v>262</v>
      </c>
    </row>
    <row r="872" spans="18:21" x14ac:dyDescent="0.25">
      <c r="R872">
        <v>411</v>
      </c>
      <c r="S872" t="s">
        <v>703</v>
      </c>
      <c r="T872" t="s">
        <v>181</v>
      </c>
      <c r="U872" t="s">
        <v>262</v>
      </c>
    </row>
    <row r="873" spans="18:21" x14ac:dyDescent="0.25">
      <c r="R873">
        <v>429</v>
      </c>
      <c r="S873" t="s">
        <v>122</v>
      </c>
      <c r="T873" t="s">
        <v>179</v>
      </c>
      <c r="U873" t="s">
        <v>262</v>
      </c>
    </row>
    <row r="874" spans="18:21" x14ac:dyDescent="0.25">
      <c r="R874">
        <v>429</v>
      </c>
      <c r="S874" t="s">
        <v>122</v>
      </c>
      <c r="T874" t="s">
        <v>179</v>
      </c>
      <c r="U874" t="s">
        <v>262</v>
      </c>
    </row>
    <row r="875" spans="18:21" x14ac:dyDescent="0.25">
      <c r="R875">
        <v>427</v>
      </c>
      <c r="S875" t="s">
        <v>712</v>
      </c>
      <c r="T875" t="s">
        <v>179</v>
      </c>
      <c r="U875" t="s">
        <v>262</v>
      </c>
    </row>
    <row r="876" spans="18:21" x14ac:dyDescent="0.25">
      <c r="R876">
        <v>427</v>
      </c>
      <c r="S876" t="s">
        <v>712</v>
      </c>
      <c r="T876" t="s">
        <v>179</v>
      </c>
      <c r="U876" t="s">
        <v>262</v>
      </c>
    </row>
    <row r="877" spans="18:21" x14ac:dyDescent="0.25">
      <c r="R877">
        <v>421</v>
      </c>
      <c r="S877" t="s">
        <v>113</v>
      </c>
      <c r="T877" t="s">
        <v>179</v>
      </c>
      <c r="U877" t="s">
        <v>262</v>
      </c>
    </row>
    <row r="878" spans="18:21" x14ac:dyDescent="0.25">
      <c r="R878">
        <v>421</v>
      </c>
      <c r="S878" t="s">
        <v>113</v>
      </c>
      <c r="T878" t="s">
        <v>179</v>
      </c>
      <c r="U878" t="s">
        <v>262</v>
      </c>
    </row>
    <row r="879" spans="18:21" x14ac:dyDescent="0.25">
      <c r="R879">
        <v>408</v>
      </c>
      <c r="S879" t="s">
        <v>350</v>
      </c>
      <c r="T879" t="s">
        <v>181</v>
      </c>
      <c r="U879" t="s">
        <v>262</v>
      </c>
    </row>
    <row r="880" spans="18:21" x14ac:dyDescent="0.25">
      <c r="R880">
        <v>408</v>
      </c>
      <c r="S880" t="s">
        <v>821</v>
      </c>
      <c r="T880" t="s">
        <v>181</v>
      </c>
      <c r="U880" t="s">
        <v>262</v>
      </c>
    </row>
    <row r="881" spans="18:21" x14ac:dyDescent="0.25">
      <c r="R881">
        <v>415</v>
      </c>
      <c r="S881" t="s">
        <v>713</v>
      </c>
      <c r="T881" t="s">
        <v>179</v>
      </c>
      <c r="U881" t="s">
        <v>262</v>
      </c>
    </row>
    <row r="882" spans="18:21" x14ac:dyDescent="0.25">
      <c r="R882">
        <v>415</v>
      </c>
      <c r="S882" t="s">
        <v>713</v>
      </c>
      <c r="T882" t="s">
        <v>179</v>
      </c>
      <c r="U882" t="s">
        <v>262</v>
      </c>
    </row>
    <row r="883" spans="18:21" x14ac:dyDescent="0.25">
      <c r="R883">
        <v>409</v>
      </c>
      <c r="S883" t="s">
        <v>20</v>
      </c>
      <c r="T883" t="s">
        <v>181</v>
      </c>
      <c r="U883" t="s">
        <v>262</v>
      </c>
    </row>
    <row r="884" spans="18:21" x14ac:dyDescent="0.25">
      <c r="R884">
        <v>409</v>
      </c>
      <c r="S884" t="s">
        <v>20</v>
      </c>
      <c r="T884" t="s">
        <v>181</v>
      </c>
      <c r="U884" t="s">
        <v>262</v>
      </c>
    </row>
    <row r="885" spans="18:21" x14ac:dyDescent="0.25">
      <c r="R885">
        <v>182</v>
      </c>
      <c r="S885" t="s">
        <v>705</v>
      </c>
      <c r="T885" t="s">
        <v>258</v>
      </c>
      <c r="U885" t="s">
        <v>262</v>
      </c>
    </row>
    <row r="886" spans="18:21" x14ac:dyDescent="0.25">
      <c r="R886">
        <v>182</v>
      </c>
      <c r="S886" t="s">
        <v>705</v>
      </c>
      <c r="T886" t="s">
        <v>258</v>
      </c>
      <c r="U886" t="s">
        <v>262</v>
      </c>
    </row>
    <row r="887" spans="18:21" x14ac:dyDescent="0.25">
      <c r="R887">
        <v>412</v>
      </c>
      <c r="S887" t="s">
        <v>704</v>
      </c>
      <c r="T887" t="s">
        <v>181</v>
      </c>
      <c r="U887" t="s">
        <v>262</v>
      </c>
    </row>
    <row r="888" spans="18:21" x14ac:dyDescent="0.25">
      <c r="R888">
        <v>412</v>
      </c>
      <c r="S888" t="s">
        <v>704</v>
      </c>
      <c r="T888" t="s">
        <v>181</v>
      </c>
      <c r="U888" t="s">
        <v>262</v>
      </c>
    </row>
    <row r="889" spans="18:21" x14ac:dyDescent="0.25">
      <c r="R889">
        <v>452</v>
      </c>
      <c r="S889" t="s">
        <v>338</v>
      </c>
      <c r="T889" t="s">
        <v>179</v>
      </c>
      <c r="U889" t="s">
        <v>265</v>
      </c>
    </row>
    <row r="890" spans="18:21" x14ac:dyDescent="0.25">
      <c r="R890">
        <v>452</v>
      </c>
      <c r="S890" t="s">
        <v>338</v>
      </c>
      <c r="T890" t="s">
        <v>179</v>
      </c>
      <c r="U890" t="s">
        <v>265</v>
      </c>
    </row>
    <row r="891" spans="18:21" x14ac:dyDescent="0.25">
      <c r="R891">
        <v>445</v>
      </c>
      <c r="S891" t="s">
        <v>714</v>
      </c>
      <c r="T891" t="s">
        <v>181</v>
      </c>
      <c r="U891" t="s">
        <v>265</v>
      </c>
    </row>
    <row r="892" spans="18:21" x14ac:dyDescent="0.25">
      <c r="R892">
        <v>445</v>
      </c>
      <c r="S892" t="s">
        <v>714</v>
      </c>
      <c r="T892" t="s">
        <v>181</v>
      </c>
      <c r="U892" t="s">
        <v>265</v>
      </c>
    </row>
    <row r="893" spans="18:21" x14ac:dyDescent="0.25">
      <c r="R893">
        <v>454</v>
      </c>
      <c r="S893" t="s">
        <v>290</v>
      </c>
      <c r="T893" t="s">
        <v>179</v>
      </c>
      <c r="U893" t="s">
        <v>265</v>
      </c>
    </row>
    <row r="894" spans="18:21" x14ac:dyDescent="0.25">
      <c r="R894">
        <v>454</v>
      </c>
      <c r="S894" t="s">
        <v>290</v>
      </c>
      <c r="T894" t="s">
        <v>179</v>
      </c>
      <c r="U894" t="s">
        <v>265</v>
      </c>
    </row>
    <row r="895" spans="18:21" x14ac:dyDescent="0.25">
      <c r="R895">
        <v>449</v>
      </c>
      <c r="S895" t="s">
        <v>266</v>
      </c>
      <c r="T895" t="s">
        <v>179</v>
      </c>
      <c r="U895" t="s">
        <v>265</v>
      </c>
    </row>
    <row r="896" spans="18:21" x14ac:dyDescent="0.25">
      <c r="R896">
        <v>449</v>
      </c>
      <c r="S896" t="s">
        <v>266</v>
      </c>
      <c r="T896" t="s">
        <v>179</v>
      </c>
      <c r="U896" t="s">
        <v>265</v>
      </c>
    </row>
    <row r="897" spans="18:21" x14ac:dyDescent="0.25">
      <c r="R897">
        <v>431</v>
      </c>
      <c r="S897" t="s">
        <v>453</v>
      </c>
      <c r="T897" t="s">
        <v>258</v>
      </c>
      <c r="U897" t="s">
        <v>265</v>
      </c>
    </row>
    <row r="898" spans="18:21" x14ac:dyDescent="0.25">
      <c r="R898">
        <v>431</v>
      </c>
      <c r="S898" t="s">
        <v>453</v>
      </c>
      <c r="T898" t="s">
        <v>258</v>
      </c>
      <c r="U898" t="s">
        <v>265</v>
      </c>
    </row>
    <row r="899" spans="18:21" x14ac:dyDescent="0.25">
      <c r="R899">
        <v>457</v>
      </c>
      <c r="S899" t="s">
        <v>294</v>
      </c>
      <c r="T899" t="s">
        <v>179</v>
      </c>
      <c r="U899" t="s">
        <v>265</v>
      </c>
    </row>
    <row r="900" spans="18:21" x14ac:dyDescent="0.25">
      <c r="R900">
        <v>457</v>
      </c>
      <c r="S900" t="s">
        <v>294</v>
      </c>
      <c r="T900" t="s">
        <v>179</v>
      </c>
      <c r="U900" t="s">
        <v>265</v>
      </c>
    </row>
    <row r="901" spans="18:21" x14ac:dyDescent="0.25">
      <c r="R901">
        <v>460</v>
      </c>
      <c r="S901" t="s">
        <v>721</v>
      </c>
      <c r="T901" t="s">
        <v>179</v>
      </c>
      <c r="U901" t="s">
        <v>265</v>
      </c>
    </row>
    <row r="902" spans="18:21" x14ac:dyDescent="0.25">
      <c r="R902">
        <v>460</v>
      </c>
      <c r="S902" t="s">
        <v>721</v>
      </c>
      <c r="T902" t="s">
        <v>179</v>
      </c>
      <c r="U902" t="s">
        <v>265</v>
      </c>
    </row>
    <row r="903" spans="18:21" x14ac:dyDescent="0.25">
      <c r="R903">
        <v>450</v>
      </c>
      <c r="S903" t="s">
        <v>346</v>
      </c>
      <c r="T903" t="s">
        <v>179</v>
      </c>
      <c r="U903" t="s">
        <v>265</v>
      </c>
    </row>
    <row r="904" spans="18:21" x14ac:dyDescent="0.25">
      <c r="R904">
        <v>450</v>
      </c>
      <c r="S904" t="s">
        <v>346</v>
      </c>
      <c r="T904" t="s">
        <v>179</v>
      </c>
      <c r="U904" t="s">
        <v>265</v>
      </c>
    </row>
    <row r="905" spans="18:21" x14ac:dyDescent="0.25">
      <c r="R905">
        <v>439</v>
      </c>
      <c r="S905" t="s">
        <v>715</v>
      </c>
      <c r="T905" t="s">
        <v>181</v>
      </c>
      <c r="U905" t="s">
        <v>265</v>
      </c>
    </row>
    <row r="906" spans="18:21" x14ac:dyDescent="0.25">
      <c r="R906">
        <v>439</v>
      </c>
      <c r="S906" t="s">
        <v>715</v>
      </c>
      <c r="T906" t="s">
        <v>181</v>
      </c>
      <c r="U906" t="s">
        <v>265</v>
      </c>
    </row>
    <row r="907" spans="18:21" x14ac:dyDescent="0.25">
      <c r="R907">
        <v>440</v>
      </c>
      <c r="S907" t="s">
        <v>80</v>
      </c>
      <c r="T907" t="s">
        <v>181</v>
      </c>
      <c r="U907" t="s">
        <v>265</v>
      </c>
    </row>
    <row r="908" spans="18:21" x14ac:dyDescent="0.25">
      <c r="R908">
        <v>440</v>
      </c>
      <c r="S908" t="s">
        <v>80</v>
      </c>
      <c r="T908" t="s">
        <v>181</v>
      </c>
      <c r="U908" t="s">
        <v>265</v>
      </c>
    </row>
    <row r="909" spans="18:21" x14ac:dyDescent="0.25">
      <c r="R909">
        <v>436</v>
      </c>
      <c r="S909" t="s">
        <v>505</v>
      </c>
      <c r="T909" t="s">
        <v>181</v>
      </c>
      <c r="U909" t="s">
        <v>265</v>
      </c>
    </row>
    <row r="910" spans="18:21" x14ac:dyDescent="0.25">
      <c r="R910">
        <v>436</v>
      </c>
      <c r="S910" t="s">
        <v>505</v>
      </c>
      <c r="T910" t="s">
        <v>181</v>
      </c>
      <c r="U910" t="s">
        <v>265</v>
      </c>
    </row>
    <row r="911" spans="18:21" x14ac:dyDescent="0.25">
      <c r="R911">
        <v>441</v>
      </c>
      <c r="S911" t="s">
        <v>716</v>
      </c>
      <c r="T911" t="s">
        <v>181</v>
      </c>
      <c r="U911" t="s">
        <v>265</v>
      </c>
    </row>
    <row r="912" spans="18:21" x14ac:dyDescent="0.25">
      <c r="R912">
        <v>441</v>
      </c>
      <c r="S912" t="s">
        <v>716</v>
      </c>
      <c r="T912" t="s">
        <v>181</v>
      </c>
      <c r="U912" t="s">
        <v>265</v>
      </c>
    </row>
    <row r="913" spans="18:21" x14ac:dyDescent="0.25">
      <c r="R913">
        <v>461</v>
      </c>
      <c r="S913" t="s">
        <v>722</v>
      </c>
      <c r="T913" t="s">
        <v>179</v>
      </c>
      <c r="U913" t="s">
        <v>265</v>
      </c>
    </row>
    <row r="914" spans="18:21" x14ac:dyDescent="0.25">
      <c r="R914">
        <v>461</v>
      </c>
      <c r="S914" t="s">
        <v>722</v>
      </c>
      <c r="T914" t="s">
        <v>179</v>
      </c>
      <c r="U914" t="s">
        <v>265</v>
      </c>
    </row>
    <row r="915" spans="18:21" x14ac:dyDescent="0.25">
      <c r="R915">
        <v>446</v>
      </c>
      <c r="S915" t="s">
        <v>717</v>
      </c>
      <c r="T915" t="s">
        <v>181</v>
      </c>
      <c r="U915" t="s">
        <v>265</v>
      </c>
    </row>
    <row r="916" spans="18:21" x14ac:dyDescent="0.25">
      <c r="R916">
        <v>446</v>
      </c>
      <c r="S916" t="s">
        <v>717</v>
      </c>
      <c r="T916" t="s">
        <v>181</v>
      </c>
      <c r="U916" t="s">
        <v>265</v>
      </c>
    </row>
    <row r="917" spans="18:21" x14ac:dyDescent="0.25">
      <c r="R917">
        <v>453</v>
      </c>
      <c r="S917" t="s">
        <v>325</v>
      </c>
      <c r="T917" t="s">
        <v>179</v>
      </c>
      <c r="U917" t="s">
        <v>265</v>
      </c>
    </row>
    <row r="918" spans="18:21" x14ac:dyDescent="0.25">
      <c r="R918">
        <v>453</v>
      </c>
      <c r="S918" t="s">
        <v>325</v>
      </c>
      <c r="T918" t="s">
        <v>179</v>
      </c>
      <c r="U918" t="s">
        <v>265</v>
      </c>
    </row>
    <row r="919" spans="18:21" x14ac:dyDescent="0.25">
      <c r="R919">
        <v>433</v>
      </c>
      <c r="S919" t="s">
        <v>427</v>
      </c>
      <c r="T919" t="s">
        <v>258</v>
      </c>
      <c r="U919" t="s">
        <v>265</v>
      </c>
    </row>
    <row r="920" spans="18:21" x14ac:dyDescent="0.25">
      <c r="R920">
        <v>433</v>
      </c>
      <c r="S920" t="s">
        <v>427</v>
      </c>
      <c r="T920" t="s">
        <v>258</v>
      </c>
      <c r="U920" t="s">
        <v>265</v>
      </c>
    </row>
    <row r="921" spans="18:21" x14ac:dyDescent="0.25">
      <c r="R921">
        <v>434</v>
      </c>
      <c r="S921" t="s">
        <v>161</v>
      </c>
      <c r="T921" t="s">
        <v>258</v>
      </c>
      <c r="U921" t="s">
        <v>265</v>
      </c>
    </row>
    <row r="922" spans="18:21" x14ac:dyDescent="0.25">
      <c r="R922">
        <v>434</v>
      </c>
      <c r="S922" t="s">
        <v>161</v>
      </c>
      <c r="T922" t="s">
        <v>258</v>
      </c>
      <c r="U922" t="s">
        <v>265</v>
      </c>
    </row>
    <row r="923" spans="18:21" x14ac:dyDescent="0.25">
      <c r="R923">
        <v>447</v>
      </c>
      <c r="S923" t="s">
        <v>718</v>
      </c>
      <c r="T923" t="s">
        <v>181</v>
      </c>
      <c r="U923" t="s">
        <v>265</v>
      </c>
    </row>
    <row r="924" spans="18:21" x14ac:dyDescent="0.25">
      <c r="R924">
        <v>447</v>
      </c>
      <c r="S924" t="s">
        <v>718</v>
      </c>
      <c r="T924" t="s">
        <v>181</v>
      </c>
      <c r="U924" t="s">
        <v>265</v>
      </c>
    </row>
    <row r="925" spans="18:21" x14ac:dyDescent="0.25">
      <c r="R925">
        <v>465</v>
      </c>
      <c r="S925" t="s">
        <v>451</v>
      </c>
      <c r="T925" t="s">
        <v>178</v>
      </c>
      <c r="U925" t="s">
        <v>265</v>
      </c>
    </row>
    <row r="926" spans="18:21" x14ac:dyDescent="0.25">
      <c r="R926">
        <v>465</v>
      </c>
      <c r="S926" t="s">
        <v>820</v>
      </c>
      <c r="T926" t="s">
        <v>178</v>
      </c>
      <c r="U926" t="s">
        <v>265</v>
      </c>
    </row>
    <row r="927" spans="18:21" x14ac:dyDescent="0.25">
      <c r="R927">
        <v>462</v>
      </c>
      <c r="S927" t="s">
        <v>723</v>
      </c>
      <c r="T927" t="s">
        <v>179</v>
      </c>
      <c r="U927" t="s">
        <v>265</v>
      </c>
    </row>
    <row r="928" spans="18:21" x14ac:dyDescent="0.25">
      <c r="R928">
        <v>462</v>
      </c>
      <c r="S928" t="s">
        <v>723</v>
      </c>
      <c r="T928" t="s">
        <v>179</v>
      </c>
      <c r="U928" t="s">
        <v>265</v>
      </c>
    </row>
    <row r="929" spans="18:21" x14ac:dyDescent="0.25">
      <c r="R929">
        <v>463</v>
      </c>
      <c r="S929" t="s">
        <v>724</v>
      </c>
      <c r="T929" t="s">
        <v>179</v>
      </c>
      <c r="U929" t="s">
        <v>265</v>
      </c>
    </row>
    <row r="930" spans="18:21" x14ac:dyDescent="0.25">
      <c r="R930">
        <v>463</v>
      </c>
      <c r="S930" t="s">
        <v>724</v>
      </c>
      <c r="T930" t="s">
        <v>179</v>
      </c>
      <c r="U930" t="s">
        <v>265</v>
      </c>
    </row>
    <row r="931" spans="18:21" x14ac:dyDescent="0.25">
      <c r="R931">
        <v>442</v>
      </c>
      <c r="S931" t="s">
        <v>63</v>
      </c>
      <c r="T931" t="s">
        <v>181</v>
      </c>
      <c r="U931" t="s">
        <v>265</v>
      </c>
    </row>
    <row r="932" spans="18:21" x14ac:dyDescent="0.25">
      <c r="R932">
        <v>442</v>
      </c>
      <c r="S932" t="s">
        <v>63</v>
      </c>
      <c r="T932" t="s">
        <v>181</v>
      </c>
      <c r="U932" t="s">
        <v>265</v>
      </c>
    </row>
    <row r="933" spans="18:21" x14ac:dyDescent="0.25">
      <c r="R933">
        <v>458</v>
      </c>
      <c r="S933" t="s">
        <v>340</v>
      </c>
      <c r="T933" t="s">
        <v>179</v>
      </c>
      <c r="U933" t="s">
        <v>265</v>
      </c>
    </row>
    <row r="934" spans="18:21" x14ac:dyDescent="0.25">
      <c r="R934">
        <v>458</v>
      </c>
      <c r="S934" t="s">
        <v>340</v>
      </c>
      <c r="T934" t="s">
        <v>179</v>
      </c>
      <c r="U934" t="s">
        <v>265</v>
      </c>
    </row>
    <row r="935" spans="18:21" x14ac:dyDescent="0.25">
      <c r="R935">
        <v>448</v>
      </c>
      <c r="S935" t="s">
        <v>126</v>
      </c>
      <c r="T935" t="s">
        <v>181</v>
      </c>
      <c r="U935" t="s">
        <v>265</v>
      </c>
    </row>
    <row r="936" spans="18:21" x14ac:dyDescent="0.25">
      <c r="R936">
        <v>448</v>
      </c>
      <c r="S936" t="s">
        <v>126</v>
      </c>
      <c r="T936" t="s">
        <v>181</v>
      </c>
      <c r="U936" t="s">
        <v>265</v>
      </c>
    </row>
    <row r="937" spans="18:21" x14ac:dyDescent="0.25">
      <c r="R937">
        <v>437</v>
      </c>
      <c r="S937" t="s">
        <v>22</v>
      </c>
      <c r="T937" t="s">
        <v>181</v>
      </c>
      <c r="U937" t="s">
        <v>265</v>
      </c>
    </row>
    <row r="938" spans="18:21" x14ac:dyDescent="0.25">
      <c r="R938">
        <v>437</v>
      </c>
      <c r="S938" t="s">
        <v>22</v>
      </c>
      <c r="T938" t="s">
        <v>181</v>
      </c>
      <c r="U938" t="s">
        <v>265</v>
      </c>
    </row>
    <row r="939" spans="18:21" x14ac:dyDescent="0.25">
      <c r="R939">
        <v>438</v>
      </c>
      <c r="S939" t="s">
        <v>506</v>
      </c>
      <c r="T939" t="s">
        <v>181</v>
      </c>
      <c r="U939" t="s">
        <v>265</v>
      </c>
    </row>
    <row r="940" spans="18:21" x14ac:dyDescent="0.25">
      <c r="R940">
        <v>438</v>
      </c>
      <c r="S940" t="s">
        <v>506</v>
      </c>
      <c r="T940" t="s">
        <v>181</v>
      </c>
      <c r="U940" t="s">
        <v>265</v>
      </c>
    </row>
    <row r="941" spans="18:21" x14ac:dyDescent="0.25">
      <c r="R941">
        <v>119</v>
      </c>
      <c r="S941" t="s">
        <v>40</v>
      </c>
      <c r="T941" t="s">
        <v>179</v>
      </c>
      <c r="U941" t="s">
        <v>265</v>
      </c>
    </row>
    <row r="942" spans="18:21" x14ac:dyDescent="0.25">
      <c r="R942">
        <v>119</v>
      </c>
      <c r="S942" t="s">
        <v>40</v>
      </c>
      <c r="T942" t="s">
        <v>179</v>
      </c>
      <c r="U942" t="s">
        <v>265</v>
      </c>
    </row>
    <row r="943" spans="18:21" x14ac:dyDescent="0.25">
      <c r="R943">
        <v>435</v>
      </c>
      <c r="S943" t="s">
        <v>70</v>
      </c>
      <c r="T943" t="s">
        <v>258</v>
      </c>
      <c r="U943" t="s">
        <v>265</v>
      </c>
    </row>
    <row r="944" spans="18:21" x14ac:dyDescent="0.25">
      <c r="R944">
        <v>435</v>
      </c>
      <c r="S944" t="s">
        <v>70</v>
      </c>
      <c r="T944" t="s">
        <v>258</v>
      </c>
      <c r="U944" t="s">
        <v>265</v>
      </c>
    </row>
    <row r="945" spans="18:21" x14ac:dyDescent="0.25">
      <c r="R945">
        <v>464</v>
      </c>
      <c r="S945" t="s">
        <v>725</v>
      </c>
      <c r="T945" t="s">
        <v>179</v>
      </c>
      <c r="U945" t="s">
        <v>265</v>
      </c>
    </row>
    <row r="946" spans="18:21" x14ac:dyDescent="0.25">
      <c r="R946">
        <v>464</v>
      </c>
      <c r="S946" t="s">
        <v>725</v>
      </c>
      <c r="T946" t="s">
        <v>179</v>
      </c>
      <c r="U946" t="s">
        <v>265</v>
      </c>
    </row>
    <row r="947" spans="18:21" x14ac:dyDescent="0.25">
      <c r="R947">
        <v>455</v>
      </c>
      <c r="S947" t="s">
        <v>9</v>
      </c>
      <c r="T947" t="s">
        <v>179</v>
      </c>
      <c r="U947" t="s">
        <v>265</v>
      </c>
    </row>
    <row r="948" spans="18:21" x14ac:dyDescent="0.25">
      <c r="R948">
        <v>455</v>
      </c>
      <c r="S948" t="s">
        <v>9</v>
      </c>
      <c r="T948" t="s">
        <v>179</v>
      </c>
      <c r="U948" t="s">
        <v>265</v>
      </c>
    </row>
    <row r="949" spans="18:21" x14ac:dyDescent="0.25">
      <c r="R949">
        <v>467</v>
      </c>
      <c r="S949" t="s">
        <v>719</v>
      </c>
      <c r="T949" t="s">
        <v>178</v>
      </c>
      <c r="U949" t="s">
        <v>265</v>
      </c>
    </row>
    <row r="950" spans="18:21" x14ac:dyDescent="0.25">
      <c r="R950">
        <v>467</v>
      </c>
      <c r="S950" t="s">
        <v>719</v>
      </c>
      <c r="T950" t="s">
        <v>178</v>
      </c>
      <c r="U950" t="s">
        <v>265</v>
      </c>
    </row>
    <row r="951" spans="18:21" x14ac:dyDescent="0.25">
      <c r="R951">
        <v>432</v>
      </c>
      <c r="S951" t="s">
        <v>330</v>
      </c>
      <c r="T951" t="s">
        <v>258</v>
      </c>
      <c r="U951" t="s">
        <v>265</v>
      </c>
    </row>
    <row r="952" spans="18:21" x14ac:dyDescent="0.25">
      <c r="R952">
        <v>432</v>
      </c>
      <c r="S952" t="s">
        <v>330</v>
      </c>
      <c r="T952" t="s">
        <v>258</v>
      </c>
      <c r="U952" t="s">
        <v>265</v>
      </c>
    </row>
    <row r="953" spans="18:21" x14ac:dyDescent="0.25">
      <c r="R953">
        <v>451</v>
      </c>
      <c r="S953" t="s">
        <v>24</v>
      </c>
      <c r="T953" t="s">
        <v>179</v>
      </c>
      <c r="U953" t="s">
        <v>265</v>
      </c>
    </row>
    <row r="954" spans="18:21" x14ac:dyDescent="0.25">
      <c r="R954">
        <v>451</v>
      </c>
      <c r="S954" t="s">
        <v>24</v>
      </c>
      <c r="T954" t="s">
        <v>179</v>
      </c>
      <c r="U954" t="s">
        <v>265</v>
      </c>
    </row>
    <row r="955" spans="18:21" x14ac:dyDescent="0.25">
      <c r="R955">
        <v>456</v>
      </c>
      <c r="S955" t="s">
        <v>18</v>
      </c>
      <c r="T955" t="s">
        <v>179</v>
      </c>
      <c r="U955" t="s">
        <v>265</v>
      </c>
    </row>
    <row r="956" spans="18:21" x14ac:dyDescent="0.25">
      <c r="R956">
        <v>456</v>
      </c>
      <c r="S956" t="s">
        <v>18</v>
      </c>
      <c r="T956" t="s">
        <v>179</v>
      </c>
      <c r="U956" t="s">
        <v>265</v>
      </c>
    </row>
    <row r="957" spans="18:21" x14ac:dyDescent="0.25">
      <c r="R957">
        <v>443</v>
      </c>
      <c r="S957" t="s">
        <v>58</v>
      </c>
      <c r="T957" t="s">
        <v>181</v>
      </c>
      <c r="U957" t="s">
        <v>265</v>
      </c>
    </row>
    <row r="958" spans="18:21" x14ac:dyDescent="0.25">
      <c r="R958">
        <v>443</v>
      </c>
      <c r="S958" t="s">
        <v>58</v>
      </c>
      <c r="T958" t="s">
        <v>181</v>
      </c>
      <c r="U958" t="s">
        <v>265</v>
      </c>
    </row>
    <row r="959" spans="18:21" x14ac:dyDescent="0.25">
      <c r="R959">
        <v>459</v>
      </c>
      <c r="S959" t="s">
        <v>726</v>
      </c>
      <c r="T959" t="s">
        <v>179</v>
      </c>
      <c r="U959" t="s">
        <v>265</v>
      </c>
    </row>
    <row r="960" spans="18:21" x14ac:dyDescent="0.25">
      <c r="R960">
        <v>459</v>
      </c>
      <c r="S960" t="s">
        <v>726</v>
      </c>
      <c r="T960" t="s">
        <v>179</v>
      </c>
      <c r="U960" t="s">
        <v>265</v>
      </c>
    </row>
    <row r="961" spans="18:21" x14ac:dyDescent="0.25">
      <c r="R961">
        <v>468</v>
      </c>
      <c r="S961" t="s">
        <v>720</v>
      </c>
      <c r="T961" t="s">
        <v>178</v>
      </c>
      <c r="U961" t="s">
        <v>265</v>
      </c>
    </row>
    <row r="962" spans="18:21" x14ac:dyDescent="0.25">
      <c r="R962">
        <v>468</v>
      </c>
      <c r="S962" t="s">
        <v>720</v>
      </c>
      <c r="T962" t="s">
        <v>178</v>
      </c>
      <c r="U962" t="s">
        <v>265</v>
      </c>
    </row>
    <row r="963" spans="18:21" x14ac:dyDescent="0.25">
      <c r="R963">
        <v>444</v>
      </c>
      <c r="S963" t="s">
        <v>450</v>
      </c>
      <c r="T963" t="s">
        <v>181</v>
      </c>
      <c r="U963" t="s">
        <v>265</v>
      </c>
    </row>
    <row r="964" spans="18:21" x14ac:dyDescent="0.25">
      <c r="R964">
        <v>444</v>
      </c>
      <c r="S964" t="s">
        <v>450</v>
      </c>
      <c r="T964" t="s">
        <v>181</v>
      </c>
      <c r="U964" t="s">
        <v>265</v>
      </c>
    </row>
    <row r="965" spans="18:21" x14ac:dyDescent="0.25">
      <c r="R965">
        <v>466</v>
      </c>
      <c r="S965" t="s">
        <v>452</v>
      </c>
      <c r="T965" t="s">
        <v>178</v>
      </c>
      <c r="U965" t="s">
        <v>265</v>
      </c>
    </row>
    <row r="966" spans="18:21" x14ac:dyDescent="0.25">
      <c r="R966">
        <v>466</v>
      </c>
      <c r="S966" t="s">
        <v>452</v>
      </c>
      <c r="T966" t="s">
        <v>178</v>
      </c>
      <c r="U966" t="s">
        <v>265</v>
      </c>
    </row>
    <row r="967" spans="18:21" x14ac:dyDescent="0.25">
      <c r="R967">
        <v>681</v>
      </c>
      <c r="S967" t="s">
        <v>833</v>
      </c>
      <c r="T967" t="s">
        <v>178</v>
      </c>
      <c r="U967" t="s">
        <v>265</v>
      </c>
    </row>
    <row r="968" spans="18:21" x14ac:dyDescent="0.25">
      <c r="R968">
        <v>681</v>
      </c>
      <c r="S968" t="s">
        <v>836</v>
      </c>
      <c r="T968" t="s">
        <v>178</v>
      </c>
      <c r="U968" t="s">
        <v>265</v>
      </c>
    </row>
    <row r="969" spans="18:21" x14ac:dyDescent="0.25">
      <c r="R969">
        <v>481</v>
      </c>
      <c r="S969" t="s">
        <v>454</v>
      </c>
      <c r="T969" t="s">
        <v>181</v>
      </c>
      <c r="U969" t="s">
        <v>267</v>
      </c>
    </row>
    <row r="970" spans="18:21" x14ac:dyDescent="0.25">
      <c r="R970">
        <v>481</v>
      </c>
      <c r="S970" t="s">
        <v>454</v>
      </c>
      <c r="T970" t="s">
        <v>181</v>
      </c>
      <c r="U970" t="s">
        <v>267</v>
      </c>
    </row>
    <row r="971" spans="18:21" x14ac:dyDescent="0.25">
      <c r="R971">
        <v>492</v>
      </c>
      <c r="S971" t="s">
        <v>730</v>
      </c>
      <c r="T971" t="s">
        <v>179</v>
      </c>
      <c r="U971" t="s">
        <v>267</v>
      </c>
    </row>
    <row r="972" spans="18:21" x14ac:dyDescent="0.25">
      <c r="R972">
        <v>492</v>
      </c>
      <c r="S972" t="s">
        <v>806</v>
      </c>
      <c r="T972" t="s">
        <v>179</v>
      </c>
      <c r="U972" t="s">
        <v>267</v>
      </c>
    </row>
    <row r="973" spans="18:21" x14ac:dyDescent="0.25">
      <c r="R973">
        <v>482</v>
      </c>
      <c r="S973" t="s">
        <v>727</v>
      </c>
      <c r="T973" t="s">
        <v>181</v>
      </c>
      <c r="U973" t="s">
        <v>267</v>
      </c>
    </row>
    <row r="974" spans="18:21" x14ac:dyDescent="0.25">
      <c r="R974">
        <v>482</v>
      </c>
      <c r="S974" t="s">
        <v>727</v>
      </c>
      <c r="T974" t="s">
        <v>181</v>
      </c>
      <c r="U974" t="s">
        <v>267</v>
      </c>
    </row>
    <row r="975" spans="18:21" x14ac:dyDescent="0.25">
      <c r="R975">
        <v>487</v>
      </c>
      <c r="S975" t="s">
        <v>380</v>
      </c>
      <c r="T975" t="s">
        <v>179</v>
      </c>
      <c r="U975" t="s">
        <v>267</v>
      </c>
    </row>
    <row r="976" spans="18:21" x14ac:dyDescent="0.25">
      <c r="R976">
        <v>487</v>
      </c>
      <c r="S976" t="s">
        <v>380</v>
      </c>
      <c r="T976" t="s">
        <v>179</v>
      </c>
      <c r="U976" t="s">
        <v>267</v>
      </c>
    </row>
    <row r="977" spans="18:21" x14ac:dyDescent="0.25">
      <c r="R977">
        <v>475</v>
      </c>
      <c r="S977" t="s">
        <v>77</v>
      </c>
      <c r="T977" t="s">
        <v>181</v>
      </c>
      <c r="U977" t="s">
        <v>267</v>
      </c>
    </row>
    <row r="978" spans="18:21" x14ac:dyDescent="0.25">
      <c r="R978">
        <v>475</v>
      </c>
      <c r="S978" t="s">
        <v>77</v>
      </c>
      <c r="T978" t="s">
        <v>181</v>
      </c>
      <c r="U978" t="s">
        <v>267</v>
      </c>
    </row>
    <row r="979" spans="18:21" x14ac:dyDescent="0.25">
      <c r="R979">
        <v>488</v>
      </c>
      <c r="S979" t="s">
        <v>360</v>
      </c>
      <c r="T979" t="s">
        <v>179</v>
      </c>
      <c r="U979" t="s">
        <v>267</v>
      </c>
    </row>
    <row r="980" spans="18:21" x14ac:dyDescent="0.25">
      <c r="R980">
        <v>488</v>
      </c>
      <c r="S980" t="s">
        <v>360</v>
      </c>
      <c r="T980" t="s">
        <v>179</v>
      </c>
      <c r="U980" t="s">
        <v>267</v>
      </c>
    </row>
    <row r="981" spans="18:21" x14ac:dyDescent="0.25">
      <c r="R981">
        <v>476</v>
      </c>
      <c r="S981" t="s">
        <v>119</v>
      </c>
      <c r="T981" t="s">
        <v>181</v>
      </c>
      <c r="U981" t="s">
        <v>267</v>
      </c>
    </row>
    <row r="982" spans="18:21" x14ac:dyDescent="0.25">
      <c r="R982">
        <v>476</v>
      </c>
      <c r="S982" t="s">
        <v>119</v>
      </c>
      <c r="T982" t="s">
        <v>181</v>
      </c>
      <c r="U982" t="s">
        <v>267</v>
      </c>
    </row>
    <row r="983" spans="18:21" x14ac:dyDescent="0.25">
      <c r="R983">
        <v>486</v>
      </c>
      <c r="S983" t="s">
        <v>99</v>
      </c>
      <c r="T983" t="s">
        <v>179</v>
      </c>
      <c r="U983" t="s">
        <v>267</v>
      </c>
    </row>
    <row r="984" spans="18:21" x14ac:dyDescent="0.25">
      <c r="R984">
        <v>486</v>
      </c>
      <c r="S984" t="s">
        <v>99</v>
      </c>
      <c r="T984" t="s">
        <v>179</v>
      </c>
      <c r="U984" t="s">
        <v>267</v>
      </c>
    </row>
    <row r="985" spans="18:21" x14ac:dyDescent="0.25">
      <c r="R985">
        <v>471</v>
      </c>
      <c r="S985" t="s">
        <v>729</v>
      </c>
      <c r="T985" t="s">
        <v>258</v>
      </c>
      <c r="U985" t="s">
        <v>267</v>
      </c>
    </row>
    <row r="986" spans="18:21" x14ac:dyDescent="0.25">
      <c r="R986">
        <v>471</v>
      </c>
      <c r="S986" t="s">
        <v>729</v>
      </c>
      <c r="T986" t="s">
        <v>258</v>
      </c>
      <c r="U986" t="s">
        <v>267</v>
      </c>
    </row>
    <row r="987" spans="18:21" x14ac:dyDescent="0.25">
      <c r="R987">
        <v>485</v>
      </c>
      <c r="S987" t="s">
        <v>36</v>
      </c>
      <c r="T987" t="s">
        <v>179</v>
      </c>
      <c r="U987" t="s">
        <v>267</v>
      </c>
    </row>
    <row r="988" spans="18:21" x14ac:dyDescent="0.25">
      <c r="R988">
        <v>485</v>
      </c>
      <c r="S988" t="s">
        <v>36</v>
      </c>
      <c r="T988" t="s">
        <v>179</v>
      </c>
      <c r="U988" t="s">
        <v>267</v>
      </c>
    </row>
    <row r="989" spans="18:21" x14ac:dyDescent="0.25">
      <c r="R989">
        <v>473</v>
      </c>
      <c r="S989" t="s">
        <v>320</v>
      </c>
      <c r="T989" t="s">
        <v>181</v>
      </c>
      <c r="U989" t="s">
        <v>267</v>
      </c>
    </row>
    <row r="990" spans="18:21" x14ac:dyDescent="0.25">
      <c r="R990">
        <v>473</v>
      </c>
      <c r="S990" t="s">
        <v>320</v>
      </c>
      <c r="T990" t="s">
        <v>181</v>
      </c>
      <c r="U990" t="s">
        <v>267</v>
      </c>
    </row>
    <row r="991" spans="18:21" x14ac:dyDescent="0.25">
      <c r="R991">
        <v>495</v>
      </c>
      <c r="S991" t="s">
        <v>342</v>
      </c>
      <c r="T991" t="s">
        <v>179</v>
      </c>
      <c r="U991" t="s">
        <v>267</v>
      </c>
    </row>
    <row r="992" spans="18:21" x14ac:dyDescent="0.25">
      <c r="R992">
        <v>495</v>
      </c>
      <c r="S992" t="s">
        <v>342</v>
      </c>
      <c r="T992" t="s">
        <v>179</v>
      </c>
      <c r="U992" t="s">
        <v>267</v>
      </c>
    </row>
    <row r="993" spans="18:21" x14ac:dyDescent="0.25">
      <c r="R993">
        <v>499</v>
      </c>
      <c r="S993" t="s">
        <v>286</v>
      </c>
      <c r="T993" t="s">
        <v>178</v>
      </c>
      <c r="U993" t="s">
        <v>267</v>
      </c>
    </row>
    <row r="994" spans="18:21" x14ac:dyDescent="0.25">
      <c r="R994">
        <v>499</v>
      </c>
      <c r="S994" t="s">
        <v>286</v>
      </c>
      <c r="T994" t="s">
        <v>178</v>
      </c>
      <c r="U994" t="s">
        <v>267</v>
      </c>
    </row>
    <row r="995" spans="18:21" x14ac:dyDescent="0.25">
      <c r="R995">
        <v>489</v>
      </c>
      <c r="S995" t="s">
        <v>458</v>
      </c>
      <c r="T995" t="s">
        <v>179</v>
      </c>
      <c r="U995" t="s">
        <v>267</v>
      </c>
    </row>
    <row r="996" spans="18:21" x14ac:dyDescent="0.25">
      <c r="R996">
        <v>489</v>
      </c>
      <c r="S996" t="s">
        <v>458</v>
      </c>
      <c r="T996" t="s">
        <v>179</v>
      </c>
      <c r="U996" t="s">
        <v>267</v>
      </c>
    </row>
    <row r="997" spans="18:21" x14ac:dyDescent="0.25">
      <c r="R997">
        <v>490</v>
      </c>
      <c r="S997" t="s">
        <v>60</v>
      </c>
      <c r="T997" t="s">
        <v>179</v>
      </c>
      <c r="U997" t="s">
        <v>267</v>
      </c>
    </row>
    <row r="998" spans="18:21" x14ac:dyDescent="0.25">
      <c r="R998">
        <v>490</v>
      </c>
      <c r="S998" t="s">
        <v>60</v>
      </c>
      <c r="T998" t="s">
        <v>179</v>
      </c>
      <c r="U998" t="s">
        <v>267</v>
      </c>
    </row>
    <row r="999" spans="18:21" x14ac:dyDescent="0.25">
      <c r="R999">
        <v>479</v>
      </c>
      <c r="S999" t="s">
        <v>172</v>
      </c>
      <c r="T999" t="s">
        <v>181</v>
      </c>
      <c r="U999" t="s">
        <v>267</v>
      </c>
    </row>
    <row r="1000" spans="18:21" x14ac:dyDescent="0.25">
      <c r="R1000">
        <v>479</v>
      </c>
      <c r="S1000" t="s">
        <v>172</v>
      </c>
      <c r="T1000" t="s">
        <v>181</v>
      </c>
      <c r="U1000" t="s">
        <v>267</v>
      </c>
    </row>
    <row r="1001" spans="18:21" x14ac:dyDescent="0.25">
      <c r="R1001">
        <v>496</v>
      </c>
      <c r="S1001" t="s">
        <v>341</v>
      </c>
      <c r="T1001" t="s">
        <v>179</v>
      </c>
      <c r="U1001" t="s">
        <v>267</v>
      </c>
    </row>
    <row r="1002" spans="18:21" x14ac:dyDescent="0.25">
      <c r="R1002">
        <v>496</v>
      </c>
      <c r="S1002" t="s">
        <v>341</v>
      </c>
      <c r="T1002" t="s">
        <v>179</v>
      </c>
      <c r="U1002" t="s">
        <v>267</v>
      </c>
    </row>
    <row r="1003" spans="18:21" x14ac:dyDescent="0.25">
      <c r="R1003">
        <v>497</v>
      </c>
      <c r="S1003" t="s">
        <v>731</v>
      </c>
      <c r="T1003" t="s">
        <v>179</v>
      </c>
      <c r="U1003" t="s">
        <v>267</v>
      </c>
    </row>
    <row r="1004" spans="18:21" x14ac:dyDescent="0.25">
      <c r="R1004">
        <v>497</v>
      </c>
      <c r="S1004" t="s">
        <v>731</v>
      </c>
      <c r="T1004" t="s">
        <v>179</v>
      </c>
      <c r="U1004" t="s">
        <v>267</v>
      </c>
    </row>
    <row r="1005" spans="18:21" x14ac:dyDescent="0.25">
      <c r="R1005">
        <v>480</v>
      </c>
      <c r="S1005" t="s">
        <v>150</v>
      </c>
      <c r="T1005" t="s">
        <v>181</v>
      </c>
      <c r="U1005" t="s">
        <v>267</v>
      </c>
    </row>
    <row r="1006" spans="18:21" x14ac:dyDescent="0.25">
      <c r="R1006">
        <v>480</v>
      </c>
      <c r="S1006" t="s">
        <v>150</v>
      </c>
      <c r="T1006" t="s">
        <v>181</v>
      </c>
      <c r="U1006" t="s">
        <v>267</v>
      </c>
    </row>
    <row r="1007" spans="18:21" x14ac:dyDescent="0.25">
      <c r="R1007">
        <v>477</v>
      </c>
      <c r="S1007" t="s">
        <v>455</v>
      </c>
      <c r="T1007" t="s">
        <v>181</v>
      </c>
      <c r="U1007" t="s">
        <v>267</v>
      </c>
    </row>
    <row r="1008" spans="18:21" x14ac:dyDescent="0.25">
      <c r="R1008">
        <v>477</v>
      </c>
      <c r="S1008" t="s">
        <v>455</v>
      </c>
      <c r="T1008" t="s">
        <v>181</v>
      </c>
      <c r="U1008" t="s">
        <v>267</v>
      </c>
    </row>
    <row r="1009" spans="18:21" x14ac:dyDescent="0.25">
      <c r="R1009">
        <v>501</v>
      </c>
      <c r="S1009" t="s">
        <v>728</v>
      </c>
      <c r="T1009" t="s">
        <v>178</v>
      </c>
      <c r="U1009" t="s">
        <v>267</v>
      </c>
    </row>
    <row r="1010" spans="18:21" x14ac:dyDescent="0.25">
      <c r="R1010">
        <v>501</v>
      </c>
      <c r="S1010" t="s">
        <v>728</v>
      </c>
      <c r="T1010" t="s">
        <v>178</v>
      </c>
      <c r="U1010" t="s">
        <v>267</v>
      </c>
    </row>
    <row r="1011" spans="18:21" x14ac:dyDescent="0.25">
      <c r="R1011">
        <v>472</v>
      </c>
      <c r="S1011" t="s">
        <v>457</v>
      </c>
      <c r="T1011" t="s">
        <v>258</v>
      </c>
      <c r="U1011" t="s">
        <v>267</v>
      </c>
    </row>
    <row r="1012" spans="18:21" x14ac:dyDescent="0.25">
      <c r="R1012">
        <v>472</v>
      </c>
      <c r="S1012" t="s">
        <v>457</v>
      </c>
      <c r="T1012" t="s">
        <v>258</v>
      </c>
      <c r="U1012" t="s">
        <v>267</v>
      </c>
    </row>
    <row r="1013" spans="18:21" x14ac:dyDescent="0.25">
      <c r="R1013">
        <v>500</v>
      </c>
      <c r="S1013" t="s">
        <v>500</v>
      </c>
      <c r="T1013" t="s">
        <v>178</v>
      </c>
      <c r="U1013" t="s">
        <v>267</v>
      </c>
    </row>
    <row r="1014" spans="18:21" x14ac:dyDescent="0.25">
      <c r="R1014">
        <v>500</v>
      </c>
      <c r="S1014" t="s">
        <v>500</v>
      </c>
      <c r="T1014" t="s">
        <v>178</v>
      </c>
      <c r="U1014" t="s">
        <v>267</v>
      </c>
    </row>
    <row r="1015" spans="18:21" x14ac:dyDescent="0.25">
      <c r="R1015">
        <v>483</v>
      </c>
      <c r="S1015" t="s">
        <v>456</v>
      </c>
      <c r="T1015" t="s">
        <v>181</v>
      </c>
      <c r="U1015" t="s">
        <v>267</v>
      </c>
    </row>
    <row r="1016" spans="18:21" x14ac:dyDescent="0.25">
      <c r="R1016">
        <v>483</v>
      </c>
      <c r="S1016" t="s">
        <v>456</v>
      </c>
      <c r="T1016" t="s">
        <v>181</v>
      </c>
      <c r="U1016" t="s">
        <v>267</v>
      </c>
    </row>
    <row r="1017" spans="18:21" x14ac:dyDescent="0.25">
      <c r="R1017">
        <v>469</v>
      </c>
      <c r="S1017" t="s">
        <v>23</v>
      </c>
      <c r="T1017" t="s">
        <v>258</v>
      </c>
      <c r="U1017" t="s">
        <v>267</v>
      </c>
    </row>
    <row r="1018" spans="18:21" x14ac:dyDescent="0.25">
      <c r="R1018">
        <v>469</v>
      </c>
      <c r="S1018" t="s">
        <v>23</v>
      </c>
      <c r="T1018" t="s">
        <v>258</v>
      </c>
      <c r="U1018" t="s">
        <v>267</v>
      </c>
    </row>
    <row r="1019" spans="18:21" x14ac:dyDescent="0.25">
      <c r="R1019">
        <v>674</v>
      </c>
      <c r="S1019" t="s">
        <v>14</v>
      </c>
      <c r="T1019" t="s">
        <v>258</v>
      </c>
      <c r="U1019" t="s">
        <v>267</v>
      </c>
    </row>
    <row r="1020" spans="18:21" x14ac:dyDescent="0.25">
      <c r="R1020">
        <v>674</v>
      </c>
      <c r="S1020" t="s">
        <v>14</v>
      </c>
      <c r="T1020" t="s">
        <v>258</v>
      </c>
      <c r="U1020" t="s">
        <v>267</v>
      </c>
    </row>
    <row r="1021" spans="18:21" x14ac:dyDescent="0.25">
      <c r="R1021">
        <v>474</v>
      </c>
      <c r="S1021" t="s">
        <v>359</v>
      </c>
      <c r="T1021" t="s">
        <v>181</v>
      </c>
      <c r="U1021" t="s">
        <v>267</v>
      </c>
    </row>
    <row r="1022" spans="18:21" x14ac:dyDescent="0.25">
      <c r="R1022">
        <v>474</v>
      </c>
      <c r="S1022" t="s">
        <v>359</v>
      </c>
      <c r="T1022" t="s">
        <v>181</v>
      </c>
      <c r="U1022" t="s">
        <v>267</v>
      </c>
    </row>
    <row r="1023" spans="18:21" x14ac:dyDescent="0.25">
      <c r="R1023">
        <v>484</v>
      </c>
      <c r="S1023" t="s">
        <v>79</v>
      </c>
      <c r="T1023" t="s">
        <v>181</v>
      </c>
      <c r="U1023" t="s">
        <v>267</v>
      </c>
    </row>
    <row r="1024" spans="18:21" x14ac:dyDescent="0.25">
      <c r="R1024">
        <v>484</v>
      </c>
      <c r="S1024" t="s">
        <v>79</v>
      </c>
      <c r="T1024" t="s">
        <v>181</v>
      </c>
      <c r="U1024" t="s">
        <v>267</v>
      </c>
    </row>
    <row r="1025" spans="18:21" x14ac:dyDescent="0.25">
      <c r="R1025">
        <v>491</v>
      </c>
      <c r="S1025" t="s">
        <v>298</v>
      </c>
      <c r="T1025" t="s">
        <v>179</v>
      </c>
      <c r="U1025" t="s">
        <v>267</v>
      </c>
    </row>
    <row r="1026" spans="18:21" x14ac:dyDescent="0.25">
      <c r="R1026">
        <v>491</v>
      </c>
      <c r="S1026" t="s">
        <v>298</v>
      </c>
      <c r="T1026" t="s">
        <v>179</v>
      </c>
      <c r="U1026" t="s">
        <v>267</v>
      </c>
    </row>
    <row r="1027" spans="18:21" x14ac:dyDescent="0.25">
      <c r="R1027">
        <v>478</v>
      </c>
      <c r="S1027" t="s">
        <v>52</v>
      </c>
      <c r="T1027" t="s">
        <v>181</v>
      </c>
      <c r="U1027" t="s">
        <v>267</v>
      </c>
    </row>
    <row r="1028" spans="18:21" x14ac:dyDescent="0.25">
      <c r="R1028">
        <v>478</v>
      </c>
      <c r="S1028" t="s">
        <v>52</v>
      </c>
      <c r="T1028" t="s">
        <v>181</v>
      </c>
      <c r="U1028" t="s">
        <v>267</v>
      </c>
    </row>
    <row r="1029" spans="18:21" x14ac:dyDescent="0.25">
      <c r="R1029">
        <v>498</v>
      </c>
      <c r="S1029" t="s">
        <v>47</v>
      </c>
      <c r="T1029" t="s">
        <v>179</v>
      </c>
      <c r="U1029" t="s">
        <v>267</v>
      </c>
    </row>
    <row r="1030" spans="18:21" x14ac:dyDescent="0.25">
      <c r="R1030">
        <v>498</v>
      </c>
      <c r="S1030" t="s">
        <v>47</v>
      </c>
      <c r="T1030" t="s">
        <v>179</v>
      </c>
      <c r="U1030" t="s">
        <v>267</v>
      </c>
    </row>
    <row r="1031" spans="18:21" x14ac:dyDescent="0.25">
      <c r="R1031">
        <v>494</v>
      </c>
      <c r="S1031" t="s">
        <v>142</v>
      </c>
      <c r="T1031" t="s">
        <v>179</v>
      </c>
      <c r="U1031" t="s">
        <v>267</v>
      </c>
    </row>
    <row r="1032" spans="18:21" x14ac:dyDescent="0.25">
      <c r="R1032">
        <v>494</v>
      </c>
      <c r="S1032" t="s">
        <v>142</v>
      </c>
      <c r="T1032" t="s">
        <v>179</v>
      </c>
      <c r="U1032" t="s">
        <v>267</v>
      </c>
    </row>
    <row r="1033" spans="18:21" x14ac:dyDescent="0.25">
      <c r="R1033">
        <v>513</v>
      </c>
      <c r="S1033" t="s">
        <v>732</v>
      </c>
      <c r="T1033" t="s">
        <v>181</v>
      </c>
      <c r="U1033" t="s">
        <v>362</v>
      </c>
    </row>
    <row r="1034" spans="18:21" x14ac:dyDescent="0.25">
      <c r="R1034">
        <v>513</v>
      </c>
      <c r="S1034" t="s">
        <v>732</v>
      </c>
      <c r="T1034" t="s">
        <v>181</v>
      </c>
      <c r="U1034" t="s">
        <v>362</v>
      </c>
    </row>
    <row r="1035" spans="18:21" x14ac:dyDescent="0.25">
      <c r="R1035">
        <v>507</v>
      </c>
      <c r="S1035" t="s">
        <v>381</v>
      </c>
      <c r="T1035" t="s">
        <v>181</v>
      </c>
      <c r="U1035" t="s">
        <v>362</v>
      </c>
    </row>
    <row r="1036" spans="18:21" x14ac:dyDescent="0.25">
      <c r="R1036">
        <v>507</v>
      </c>
      <c r="S1036" t="s">
        <v>381</v>
      </c>
      <c r="T1036" t="s">
        <v>181</v>
      </c>
      <c r="U1036" t="s">
        <v>362</v>
      </c>
    </row>
    <row r="1037" spans="18:21" x14ac:dyDescent="0.25">
      <c r="R1037">
        <v>517</v>
      </c>
      <c r="S1037" t="s">
        <v>333</v>
      </c>
      <c r="T1037" t="s">
        <v>179</v>
      </c>
      <c r="U1037" t="s">
        <v>362</v>
      </c>
    </row>
    <row r="1038" spans="18:21" x14ac:dyDescent="0.25">
      <c r="R1038">
        <v>517</v>
      </c>
      <c r="S1038" t="s">
        <v>333</v>
      </c>
      <c r="T1038" t="s">
        <v>179</v>
      </c>
      <c r="U1038" t="s">
        <v>362</v>
      </c>
    </row>
    <row r="1039" spans="18:21" x14ac:dyDescent="0.25">
      <c r="R1039">
        <v>527</v>
      </c>
      <c r="S1039" t="s">
        <v>37</v>
      </c>
      <c r="T1039" t="s">
        <v>178</v>
      </c>
      <c r="U1039" t="s">
        <v>362</v>
      </c>
    </row>
    <row r="1040" spans="18:21" x14ac:dyDescent="0.25">
      <c r="R1040">
        <v>527</v>
      </c>
      <c r="S1040" t="s">
        <v>37</v>
      </c>
      <c r="T1040" t="s">
        <v>178</v>
      </c>
      <c r="U1040" t="s">
        <v>362</v>
      </c>
    </row>
    <row r="1041" spans="18:21" x14ac:dyDescent="0.25">
      <c r="R1041">
        <v>514</v>
      </c>
      <c r="S1041" t="s">
        <v>59</v>
      </c>
      <c r="T1041" t="s">
        <v>181</v>
      </c>
      <c r="U1041" t="s">
        <v>362</v>
      </c>
    </row>
    <row r="1042" spans="18:21" x14ac:dyDescent="0.25">
      <c r="R1042">
        <v>514</v>
      </c>
      <c r="S1042" t="s">
        <v>59</v>
      </c>
      <c r="T1042" t="s">
        <v>181</v>
      </c>
      <c r="U1042" t="s">
        <v>362</v>
      </c>
    </row>
    <row r="1043" spans="18:21" x14ac:dyDescent="0.25">
      <c r="R1043">
        <v>503</v>
      </c>
      <c r="S1043" t="s">
        <v>462</v>
      </c>
      <c r="T1043" t="s">
        <v>258</v>
      </c>
      <c r="U1043" t="s">
        <v>362</v>
      </c>
    </row>
    <row r="1044" spans="18:21" x14ac:dyDescent="0.25">
      <c r="R1044">
        <v>503</v>
      </c>
      <c r="S1044" t="s">
        <v>462</v>
      </c>
      <c r="T1044" t="s">
        <v>258</v>
      </c>
      <c r="U1044" t="s">
        <v>362</v>
      </c>
    </row>
    <row r="1045" spans="18:21" x14ac:dyDescent="0.25">
      <c r="R1045">
        <v>523</v>
      </c>
      <c r="S1045" t="s">
        <v>464</v>
      </c>
      <c r="T1045" t="s">
        <v>179</v>
      </c>
      <c r="U1045" t="s">
        <v>362</v>
      </c>
    </row>
    <row r="1046" spans="18:21" x14ac:dyDescent="0.25">
      <c r="R1046">
        <v>523</v>
      </c>
      <c r="S1046" t="s">
        <v>464</v>
      </c>
      <c r="T1046" t="s">
        <v>179</v>
      </c>
      <c r="U1046" t="s">
        <v>362</v>
      </c>
    </row>
    <row r="1047" spans="18:21" x14ac:dyDescent="0.25">
      <c r="R1047">
        <v>509</v>
      </c>
      <c r="S1047" t="s">
        <v>733</v>
      </c>
      <c r="T1047" t="s">
        <v>181</v>
      </c>
      <c r="U1047" t="s">
        <v>362</v>
      </c>
    </row>
    <row r="1048" spans="18:21" x14ac:dyDescent="0.25">
      <c r="R1048">
        <v>509</v>
      </c>
      <c r="S1048" t="s">
        <v>733</v>
      </c>
      <c r="T1048" t="s">
        <v>181</v>
      </c>
      <c r="U1048" t="s">
        <v>362</v>
      </c>
    </row>
    <row r="1049" spans="18:21" x14ac:dyDescent="0.25">
      <c r="R1049">
        <v>519</v>
      </c>
      <c r="S1049" t="s">
        <v>465</v>
      </c>
      <c r="T1049" t="s">
        <v>179</v>
      </c>
      <c r="U1049" t="s">
        <v>362</v>
      </c>
    </row>
    <row r="1050" spans="18:21" x14ac:dyDescent="0.25">
      <c r="R1050">
        <v>519</v>
      </c>
      <c r="S1050" t="s">
        <v>465</v>
      </c>
      <c r="T1050" t="s">
        <v>179</v>
      </c>
      <c r="U1050" t="s">
        <v>362</v>
      </c>
    </row>
    <row r="1051" spans="18:21" x14ac:dyDescent="0.25">
      <c r="R1051">
        <v>515</v>
      </c>
      <c r="S1051" t="s">
        <v>153</v>
      </c>
      <c r="T1051" t="s">
        <v>179</v>
      </c>
      <c r="U1051" t="s">
        <v>362</v>
      </c>
    </row>
    <row r="1052" spans="18:21" x14ac:dyDescent="0.25">
      <c r="R1052">
        <v>515</v>
      </c>
      <c r="S1052" t="s">
        <v>153</v>
      </c>
      <c r="T1052" t="s">
        <v>179</v>
      </c>
      <c r="U1052" t="s">
        <v>362</v>
      </c>
    </row>
    <row r="1053" spans="18:21" x14ac:dyDescent="0.25">
      <c r="R1053">
        <v>675</v>
      </c>
      <c r="S1053" t="s">
        <v>805</v>
      </c>
      <c r="T1053" t="s">
        <v>258</v>
      </c>
      <c r="U1053" t="s">
        <v>362</v>
      </c>
    </row>
    <row r="1054" spans="18:21" x14ac:dyDescent="0.25">
      <c r="R1054">
        <v>675</v>
      </c>
      <c r="S1054" t="s">
        <v>805</v>
      </c>
      <c r="T1054" t="s">
        <v>258</v>
      </c>
      <c r="U1054" t="s">
        <v>362</v>
      </c>
    </row>
    <row r="1055" spans="18:21" x14ac:dyDescent="0.25">
      <c r="R1055">
        <v>516</v>
      </c>
      <c r="S1055" t="s">
        <v>129</v>
      </c>
      <c r="T1055" t="s">
        <v>179</v>
      </c>
      <c r="U1055" t="s">
        <v>362</v>
      </c>
    </row>
    <row r="1056" spans="18:21" x14ac:dyDescent="0.25">
      <c r="R1056">
        <v>516</v>
      </c>
      <c r="S1056" t="s">
        <v>129</v>
      </c>
      <c r="T1056" t="s">
        <v>179</v>
      </c>
      <c r="U1056" t="s">
        <v>362</v>
      </c>
    </row>
    <row r="1057" spans="18:21" x14ac:dyDescent="0.25">
      <c r="R1057">
        <v>526</v>
      </c>
      <c r="S1057" t="s">
        <v>736</v>
      </c>
      <c r="T1057" t="s">
        <v>178</v>
      </c>
      <c r="U1057" t="s">
        <v>362</v>
      </c>
    </row>
    <row r="1058" spans="18:21" x14ac:dyDescent="0.25">
      <c r="R1058">
        <v>526</v>
      </c>
      <c r="S1058" t="s">
        <v>736</v>
      </c>
      <c r="T1058" t="s">
        <v>178</v>
      </c>
      <c r="U1058" t="s">
        <v>362</v>
      </c>
    </row>
    <row r="1059" spans="18:21" x14ac:dyDescent="0.25">
      <c r="R1059">
        <v>510</v>
      </c>
      <c r="S1059" t="s">
        <v>734</v>
      </c>
      <c r="T1059" t="s">
        <v>181</v>
      </c>
      <c r="U1059" t="s">
        <v>362</v>
      </c>
    </row>
    <row r="1060" spans="18:21" x14ac:dyDescent="0.25">
      <c r="R1060">
        <v>510</v>
      </c>
      <c r="S1060" t="s">
        <v>734</v>
      </c>
      <c r="T1060" t="s">
        <v>181</v>
      </c>
      <c r="U1060" t="s">
        <v>362</v>
      </c>
    </row>
    <row r="1061" spans="18:21" x14ac:dyDescent="0.25">
      <c r="R1061">
        <v>518</v>
      </c>
      <c r="S1061" t="s">
        <v>737</v>
      </c>
      <c r="T1061" t="s">
        <v>179</v>
      </c>
      <c r="U1061" t="s">
        <v>362</v>
      </c>
    </row>
    <row r="1062" spans="18:21" x14ac:dyDescent="0.25">
      <c r="R1062">
        <v>518</v>
      </c>
      <c r="S1062" t="s">
        <v>737</v>
      </c>
      <c r="T1062" t="s">
        <v>179</v>
      </c>
      <c r="U1062" t="s">
        <v>362</v>
      </c>
    </row>
    <row r="1063" spans="18:21" x14ac:dyDescent="0.25">
      <c r="R1063">
        <v>505</v>
      </c>
      <c r="S1063" t="s">
        <v>459</v>
      </c>
      <c r="T1063" t="s">
        <v>181</v>
      </c>
      <c r="U1063" t="s">
        <v>362</v>
      </c>
    </row>
    <row r="1064" spans="18:21" x14ac:dyDescent="0.25">
      <c r="R1064">
        <v>505</v>
      </c>
      <c r="S1064" t="s">
        <v>459</v>
      </c>
      <c r="T1064" t="s">
        <v>181</v>
      </c>
      <c r="U1064" t="s">
        <v>362</v>
      </c>
    </row>
    <row r="1065" spans="18:21" x14ac:dyDescent="0.25">
      <c r="R1065">
        <v>511</v>
      </c>
      <c r="S1065" t="s">
        <v>735</v>
      </c>
      <c r="T1065" t="s">
        <v>181</v>
      </c>
      <c r="U1065" t="s">
        <v>362</v>
      </c>
    </row>
    <row r="1066" spans="18:21" x14ac:dyDescent="0.25">
      <c r="R1066">
        <v>511</v>
      </c>
      <c r="S1066" t="s">
        <v>735</v>
      </c>
      <c r="T1066" t="s">
        <v>181</v>
      </c>
      <c r="U1066" t="s">
        <v>362</v>
      </c>
    </row>
    <row r="1067" spans="18:21" x14ac:dyDescent="0.25">
      <c r="R1067">
        <v>506</v>
      </c>
      <c r="S1067" t="s">
        <v>460</v>
      </c>
      <c r="T1067" t="s">
        <v>181</v>
      </c>
      <c r="U1067" t="s">
        <v>362</v>
      </c>
    </row>
    <row r="1068" spans="18:21" x14ac:dyDescent="0.25">
      <c r="R1068">
        <v>506</v>
      </c>
      <c r="S1068" t="s">
        <v>460</v>
      </c>
      <c r="T1068" t="s">
        <v>181</v>
      </c>
      <c r="U1068" t="s">
        <v>362</v>
      </c>
    </row>
    <row r="1069" spans="18:21" x14ac:dyDescent="0.25">
      <c r="R1069">
        <v>508</v>
      </c>
      <c r="S1069" t="s">
        <v>461</v>
      </c>
      <c r="T1069" t="s">
        <v>181</v>
      </c>
      <c r="U1069" t="s">
        <v>362</v>
      </c>
    </row>
    <row r="1070" spans="18:21" x14ac:dyDescent="0.25">
      <c r="R1070">
        <v>508</v>
      </c>
      <c r="S1070" t="s">
        <v>461</v>
      </c>
      <c r="T1070" t="s">
        <v>181</v>
      </c>
      <c r="U1070" t="s">
        <v>362</v>
      </c>
    </row>
    <row r="1071" spans="18:21" x14ac:dyDescent="0.25">
      <c r="R1071">
        <v>669</v>
      </c>
      <c r="S1071" t="s">
        <v>738</v>
      </c>
      <c r="T1071" t="s">
        <v>179</v>
      </c>
      <c r="U1071" t="s">
        <v>362</v>
      </c>
    </row>
    <row r="1072" spans="18:21" x14ac:dyDescent="0.25">
      <c r="R1072">
        <v>669</v>
      </c>
      <c r="S1072" t="s">
        <v>738</v>
      </c>
      <c r="T1072" t="s">
        <v>179</v>
      </c>
      <c r="U1072" t="s">
        <v>362</v>
      </c>
    </row>
    <row r="1073" spans="18:21" x14ac:dyDescent="0.25">
      <c r="R1073">
        <v>520</v>
      </c>
      <c r="S1073" t="s">
        <v>157</v>
      </c>
      <c r="T1073" t="s">
        <v>179</v>
      </c>
      <c r="U1073" t="s">
        <v>362</v>
      </c>
    </row>
    <row r="1074" spans="18:21" x14ac:dyDescent="0.25">
      <c r="R1074">
        <v>520</v>
      </c>
      <c r="S1074" t="s">
        <v>157</v>
      </c>
      <c r="T1074" t="s">
        <v>179</v>
      </c>
      <c r="U1074" t="s">
        <v>362</v>
      </c>
    </row>
    <row r="1075" spans="18:21" x14ac:dyDescent="0.25">
      <c r="R1075">
        <v>512</v>
      </c>
      <c r="S1075" t="s">
        <v>363</v>
      </c>
      <c r="T1075" t="s">
        <v>181</v>
      </c>
      <c r="U1075" t="s">
        <v>362</v>
      </c>
    </row>
    <row r="1076" spans="18:21" x14ac:dyDescent="0.25">
      <c r="R1076">
        <v>512</v>
      </c>
      <c r="S1076" t="s">
        <v>363</v>
      </c>
      <c r="T1076" t="s">
        <v>181</v>
      </c>
      <c r="U1076" t="s">
        <v>362</v>
      </c>
    </row>
    <row r="1077" spans="18:21" x14ac:dyDescent="0.25">
      <c r="R1077">
        <v>521</v>
      </c>
      <c r="S1077" t="s">
        <v>466</v>
      </c>
      <c r="T1077" t="s">
        <v>179</v>
      </c>
      <c r="U1077" t="s">
        <v>362</v>
      </c>
    </row>
    <row r="1078" spans="18:21" x14ac:dyDescent="0.25">
      <c r="R1078">
        <v>521</v>
      </c>
      <c r="S1078" t="s">
        <v>807</v>
      </c>
      <c r="T1078" t="s">
        <v>179</v>
      </c>
      <c r="U1078" t="s">
        <v>362</v>
      </c>
    </row>
    <row r="1079" spans="18:21" x14ac:dyDescent="0.25">
      <c r="R1079">
        <v>502</v>
      </c>
      <c r="S1079" t="s">
        <v>463</v>
      </c>
      <c r="T1079" t="s">
        <v>258</v>
      </c>
      <c r="U1079" t="s">
        <v>362</v>
      </c>
    </row>
    <row r="1080" spans="18:21" x14ac:dyDescent="0.25">
      <c r="R1080">
        <v>502</v>
      </c>
      <c r="S1080" t="s">
        <v>463</v>
      </c>
      <c r="T1080" t="s">
        <v>258</v>
      </c>
      <c r="U1080" t="s">
        <v>362</v>
      </c>
    </row>
    <row r="1081" spans="18:21" x14ac:dyDescent="0.25">
      <c r="R1081">
        <v>524</v>
      </c>
      <c r="S1081" t="s">
        <v>739</v>
      </c>
      <c r="T1081" t="s">
        <v>179</v>
      </c>
      <c r="U1081" t="s">
        <v>362</v>
      </c>
    </row>
    <row r="1082" spans="18:21" x14ac:dyDescent="0.25">
      <c r="R1082">
        <v>524</v>
      </c>
      <c r="S1082" t="s">
        <v>739</v>
      </c>
      <c r="T1082" t="s">
        <v>179</v>
      </c>
      <c r="U1082" t="s">
        <v>362</v>
      </c>
    </row>
    <row r="1083" spans="18:21" x14ac:dyDescent="0.25">
      <c r="R1083">
        <v>504</v>
      </c>
      <c r="S1083" t="s">
        <v>176</v>
      </c>
      <c r="T1083" t="s">
        <v>258</v>
      </c>
      <c r="U1083" t="s">
        <v>362</v>
      </c>
    </row>
    <row r="1084" spans="18:21" x14ac:dyDescent="0.25">
      <c r="R1084">
        <v>504</v>
      </c>
      <c r="S1084" t="s">
        <v>176</v>
      </c>
      <c r="T1084" t="s">
        <v>258</v>
      </c>
      <c r="U1084" t="s">
        <v>362</v>
      </c>
    </row>
    <row r="1085" spans="18:21" x14ac:dyDescent="0.25">
      <c r="R1085">
        <v>525</v>
      </c>
      <c r="S1085" t="s">
        <v>116</v>
      </c>
      <c r="T1085" t="s">
        <v>178</v>
      </c>
      <c r="U1085" t="s">
        <v>362</v>
      </c>
    </row>
    <row r="1086" spans="18:21" x14ac:dyDescent="0.25">
      <c r="R1086">
        <v>525</v>
      </c>
      <c r="S1086" t="s">
        <v>116</v>
      </c>
      <c r="T1086" t="s">
        <v>178</v>
      </c>
      <c r="U1086" t="s">
        <v>362</v>
      </c>
    </row>
    <row r="1087" spans="18:21" x14ac:dyDescent="0.25">
      <c r="R1087">
        <v>522</v>
      </c>
      <c r="S1087" t="s">
        <v>112</v>
      </c>
      <c r="T1087" t="s">
        <v>179</v>
      </c>
      <c r="U1087" t="s">
        <v>362</v>
      </c>
    </row>
    <row r="1088" spans="18:21" x14ac:dyDescent="0.25">
      <c r="R1088">
        <v>522</v>
      </c>
      <c r="S1088" t="s">
        <v>112</v>
      </c>
      <c r="T1088" t="s">
        <v>179</v>
      </c>
      <c r="U1088" t="s">
        <v>362</v>
      </c>
    </row>
    <row r="1089" spans="18:21" x14ac:dyDescent="0.25">
      <c r="R1089">
        <v>566</v>
      </c>
      <c r="S1089" t="s">
        <v>175</v>
      </c>
      <c r="T1089" t="s">
        <v>258</v>
      </c>
      <c r="U1089" t="s">
        <v>364</v>
      </c>
    </row>
    <row r="1090" spans="18:21" x14ac:dyDescent="0.25">
      <c r="R1090">
        <v>566</v>
      </c>
      <c r="S1090" t="s">
        <v>175</v>
      </c>
      <c r="T1090" t="s">
        <v>258</v>
      </c>
      <c r="U1090" t="s">
        <v>364</v>
      </c>
    </row>
    <row r="1091" spans="18:21" x14ac:dyDescent="0.25">
      <c r="R1091">
        <v>585</v>
      </c>
      <c r="S1091" t="s">
        <v>53</v>
      </c>
      <c r="T1091" t="s">
        <v>179</v>
      </c>
      <c r="U1091" t="s">
        <v>364</v>
      </c>
    </row>
    <row r="1092" spans="18:21" x14ac:dyDescent="0.25">
      <c r="R1092">
        <v>585</v>
      </c>
      <c r="S1092" t="s">
        <v>53</v>
      </c>
      <c r="T1092" t="s">
        <v>179</v>
      </c>
      <c r="U1092" t="s">
        <v>364</v>
      </c>
    </row>
    <row r="1093" spans="18:21" x14ac:dyDescent="0.25">
      <c r="R1093">
        <v>586</v>
      </c>
      <c r="S1093" t="s">
        <v>475</v>
      </c>
      <c r="T1093" t="s">
        <v>179</v>
      </c>
      <c r="U1093" t="s">
        <v>364</v>
      </c>
    </row>
    <row r="1094" spans="18:21" x14ac:dyDescent="0.25">
      <c r="R1094">
        <v>586</v>
      </c>
      <c r="S1094" t="s">
        <v>475</v>
      </c>
      <c r="T1094" t="s">
        <v>179</v>
      </c>
      <c r="U1094" t="s">
        <v>364</v>
      </c>
    </row>
    <row r="1095" spans="18:21" x14ac:dyDescent="0.25">
      <c r="R1095">
        <v>587</v>
      </c>
      <c r="S1095" t="s">
        <v>104</v>
      </c>
      <c r="T1095" t="s">
        <v>179</v>
      </c>
      <c r="U1095" t="s">
        <v>364</v>
      </c>
    </row>
    <row r="1096" spans="18:21" x14ac:dyDescent="0.25">
      <c r="R1096">
        <v>587</v>
      </c>
      <c r="S1096" t="s">
        <v>104</v>
      </c>
      <c r="T1096" t="s">
        <v>179</v>
      </c>
      <c r="U1096" t="s">
        <v>364</v>
      </c>
    </row>
    <row r="1097" spans="18:21" x14ac:dyDescent="0.25">
      <c r="R1097">
        <v>590</v>
      </c>
      <c r="S1097" t="s">
        <v>114</v>
      </c>
      <c r="T1097" t="s">
        <v>179</v>
      </c>
      <c r="U1097" t="s">
        <v>364</v>
      </c>
    </row>
    <row r="1098" spans="18:21" x14ac:dyDescent="0.25">
      <c r="R1098">
        <v>590</v>
      </c>
      <c r="S1098" t="s">
        <v>114</v>
      </c>
      <c r="T1098" t="s">
        <v>179</v>
      </c>
      <c r="U1098" t="s">
        <v>364</v>
      </c>
    </row>
    <row r="1099" spans="18:21" x14ac:dyDescent="0.25">
      <c r="R1099">
        <v>570</v>
      </c>
      <c r="S1099" t="s">
        <v>740</v>
      </c>
      <c r="T1099" t="s">
        <v>181</v>
      </c>
      <c r="U1099" t="s">
        <v>364</v>
      </c>
    </row>
    <row r="1100" spans="18:21" x14ac:dyDescent="0.25">
      <c r="R1100">
        <v>570</v>
      </c>
      <c r="S1100" t="s">
        <v>740</v>
      </c>
      <c r="T1100" t="s">
        <v>181</v>
      </c>
      <c r="U1100" t="s">
        <v>364</v>
      </c>
    </row>
    <row r="1101" spans="18:21" x14ac:dyDescent="0.25">
      <c r="R1101">
        <v>571</v>
      </c>
      <c r="S1101" t="s">
        <v>137</v>
      </c>
      <c r="T1101" t="s">
        <v>181</v>
      </c>
      <c r="U1101" t="s">
        <v>364</v>
      </c>
    </row>
    <row r="1102" spans="18:21" x14ac:dyDescent="0.25">
      <c r="R1102">
        <v>571</v>
      </c>
      <c r="S1102" t="s">
        <v>137</v>
      </c>
      <c r="T1102" t="s">
        <v>181</v>
      </c>
      <c r="U1102" t="s">
        <v>364</v>
      </c>
    </row>
    <row r="1103" spans="18:21" x14ac:dyDescent="0.25">
      <c r="R1103">
        <v>572</v>
      </c>
      <c r="S1103" t="s">
        <v>472</v>
      </c>
      <c r="T1103" t="s">
        <v>181</v>
      </c>
      <c r="U1103" t="s">
        <v>364</v>
      </c>
    </row>
    <row r="1104" spans="18:21" x14ac:dyDescent="0.25">
      <c r="R1104">
        <v>572</v>
      </c>
      <c r="S1104" t="s">
        <v>472</v>
      </c>
      <c r="T1104" t="s">
        <v>181</v>
      </c>
      <c r="U1104" t="s">
        <v>364</v>
      </c>
    </row>
    <row r="1105" spans="18:21" x14ac:dyDescent="0.25">
      <c r="R1105">
        <v>591</v>
      </c>
      <c r="S1105" t="s">
        <v>34</v>
      </c>
      <c r="T1105" t="s">
        <v>179</v>
      </c>
      <c r="U1105" t="s">
        <v>364</v>
      </c>
    </row>
    <row r="1106" spans="18:21" x14ac:dyDescent="0.25">
      <c r="R1106">
        <v>591</v>
      </c>
      <c r="S1106" t="s">
        <v>34</v>
      </c>
      <c r="T1106" t="s">
        <v>179</v>
      </c>
      <c r="U1106" t="s">
        <v>364</v>
      </c>
    </row>
    <row r="1107" spans="18:21" x14ac:dyDescent="0.25">
      <c r="R1107">
        <v>673</v>
      </c>
      <c r="S1107" t="s">
        <v>745</v>
      </c>
      <c r="T1107" t="s">
        <v>179</v>
      </c>
      <c r="U1107" t="s">
        <v>364</v>
      </c>
    </row>
    <row r="1108" spans="18:21" x14ac:dyDescent="0.25">
      <c r="R1108">
        <v>673</v>
      </c>
      <c r="S1108" t="s">
        <v>745</v>
      </c>
      <c r="T1108" t="s">
        <v>179</v>
      </c>
      <c r="U1108" t="s">
        <v>364</v>
      </c>
    </row>
    <row r="1109" spans="18:21" x14ac:dyDescent="0.25">
      <c r="R1109">
        <v>580</v>
      </c>
      <c r="S1109" t="s">
        <v>38</v>
      </c>
      <c r="T1109" t="s">
        <v>179</v>
      </c>
      <c r="U1109" t="s">
        <v>364</v>
      </c>
    </row>
    <row r="1110" spans="18:21" x14ac:dyDescent="0.25">
      <c r="R1110">
        <v>580</v>
      </c>
      <c r="S1110" t="s">
        <v>38</v>
      </c>
      <c r="T1110" t="s">
        <v>179</v>
      </c>
      <c r="U1110" t="s">
        <v>364</v>
      </c>
    </row>
    <row r="1111" spans="18:21" x14ac:dyDescent="0.25">
      <c r="R1111">
        <v>567</v>
      </c>
      <c r="S1111" t="s">
        <v>744</v>
      </c>
      <c r="T1111" t="s">
        <v>258</v>
      </c>
      <c r="U1111" t="s">
        <v>364</v>
      </c>
    </row>
    <row r="1112" spans="18:21" x14ac:dyDescent="0.25">
      <c r="R1112">
        <v>567</v>
      </c>
      <c r="S1112" t="s">
        <v>744</v>
      </c>
      <c r="T1112" t="s">
        <v>258</v>
      </c>
      <c r="U1112" t="s">
        <v>364</v>
      </c>
    </row>
    <row r="1113" spans="18:21" x14ac:dyDescent="0.25">
      <c r="R1113">
        <v>582</v>
      </c>
      <c r="S1113" t="s">
        <v>479</v>
      </c>
      <c r="T1113" t="s">
        <v>179</v>
      </c>
      <c r="U1113" t="s">
        <v>364</v>
      </c>
    </row>
    <row r="1114" spans="18:21" x14ac:dyDescent="0.25">
      <c r="R1114">
        <v>582</v>
      </c>
      <c r="S1114" t="s">
        <v>479</v>
      </c>
      <c r="T1114" t="s">
        <v>179</v>
      </c>
      <c r="U1114" t="s">
        <v>364</v>
      </c>
    </row>
    <row r="1115" spans="18:21" x14ac:dyDescent="0.25">
      <c r="R1115">
        <v>583</v>
      </c>
      <c r="S1115" t="s">
        <v>6</v>
      </c>
      <c r="T1115" t="s">
        <v>179</v>
      </c>
      <c r="U1115" t="s">
        <v>364</v>
      </c>
    </row>
    <row r="1116" spans="18:21" x14ac:dyDescent="0.25">
      <c r="R1116">
        <v>583</v>
      </c>
      <c r="S1116" t="s">
        <v>6</v>
      </c>
      <c r="T1116" t="s">
        <v>179</v>
      </c>
      <c r="U1116" t="s">
        <v>364</v>
      </c>
    </row>
    <row r="1117" spans="18:21" x14ac:dyDescent="0.25">
      <c r="R1117">
        <v>598</v>
      </c>
      <c r="S1117" t="s">
        <v>743</v>
      </c>
      <c r="T1117" t="s">
        <v>178</v>
      </c>
      <c r="U1117" t="s">
        <v>364</v>
      </c>
    </row>
    <row r="1118" spans="18:21" x14ac:dyDescent="0.25">
      <c r="R1118">
        <v>598</v>
      </c>
      <c r="S1118" t="s">
        <v>743</v>
      </c>
      <c r="T1118" t="s">
        <v>178</v>
      </c>
      <c r="U1118" t="s">
        <v>364</v>
      </c>
    </row>
    <row r="1119" spans="18:21" x14ac:dyDescent="0.25">
      <c r="R1119">
        <v>581</v>
      </c>
      <c r="S1119" t="s">
        <v>17</v>
      </c>
      <c r="T1119" t="s">
        <v>179</v>
      </c>
      <c r="U1119" t="s">
        <v>364</v>
      </c>
    </row>
    <row r="1120" spans="18:21" x14ac:dyDescent="0.25">
      <c r="R1120">
        <v>581</v>
      </c>
      <c r="S1120" t="s">
        <v>17</v>
      </c>
      <c r="T1120" t="s">
        <v>179</v>
      </c>
      <c r="U1120" t="s">
        <v>364</v>
      </c>
    </row>
    <row r="1121" spans="18:21" x14ac:dyDescent="0.25">
      <c r="R1121">
        <v>594</v>
      </c>
      <c r="S1121" t="s">
        <v>746</v>
      </c>
      <c r="T1121" t="s">
        <v>179</v>
      </c>
      <c r="U1121" t="s">
        <v>364</v>
      </c>
    </row>
    <row r="1122" spans="18:21" x14ac:dyDescent="0.25">
      <c r="R1122">
        <v>594</v>
      </c>
      <c r="S1122" t="s">
        <v>746</v>
      </c>
      <c r="T1122" t="s">
        <v>179</v>
      </c>
      <c r="U1122" t="s">
        <v>364</v>
      </c>
    </row>
    <row r="1123" spans="18:21" x14ac:dyDescent="0.25">
      <c r="R1123">
        <v>592</v>
      </c>
      <c r="S1123" t="s">
        <v>747</v>
      </c>
      <c r="T1123" t="s">
        <v>179</v>
      </c>
      <c r="U1123" t="s">
        <v>364</v>
      </c>
    </row>
    <row r="1124" spans="18:21" x14ac:dyDescent="0.25">
      <c r="R1124">
        <v>592</v>
      </c>
      <c r="S1124" t="s">
        <v>747</v>
      </c>
      <c r="T1124" t="s">
        <v>179</v>
      </c>
      <c r="U1124" t="s">
        <v>364</v>
      </c>
    </row>
    <row r="1125" spans="18:21" x14ac:dyDescent="0.25">
      <c r="R1125">
        <v>588</v>
      </c>
      <c r="S1125" t="s">
        <v>748</v>
      </c>
      <c r="T1125" t="s">
        <v>179</v>
      </c>
      <c r="U1125" t="s">
        <v>364</v>
      </c>
    </row>
    <row r="1126" spans="18:21" x14ac:dyDescent="0.25">
      <c r="R1126">
        <v>588</v>
      </c>
      <c r="S1126" t="s">
        <v>748</v>
      </c>
      <c r="T1126" t="s">
        <v>179</v>
      </c>
      <c r="U1126" t="s">
        <v>364</v>
      </c>
    </row>
    <row r="1127" spans="18:21" x14ac:dyDescent="0.25">
      <c r="R1127">
        <v>595</v>
      </c>
      <c r="S1127" t="s">
        <v>749</v>
      </c>
      <c r="T1127" t="s">
        <v>179</v>
      </c>
      <c r="U1127" t="s">
        <v>364</v>
      </c>
    </row>
    <row r="1128" spans="18:21" x14ac:dyDescent="0.25">
      <c r="R1128">
        <v>595</v>
      </c>
      <c r="S1128" t="s">
        <v>749</v>
      </c>
      <c r="T1128" t="s">
        <v>179</v>
      </c>
      <c r="U1128" t="s">
        <v>364</v>
      </c>
    </row>
    <row r="1129" spans="18:21" x14ac:dyDescent="0.25">
      <c r="R1129">
        <v>593</v>
      </c>
      <c r="S1129" t="s">
        <v>750</v>
      </c>
      <c r="T1129" t="s">
        <v>179</v>
      </c>
      <c r="U1129" t="s">
        <v>364</v>
      </c>
    </row>
    <row r="1130" spans="18:21" x14ac:dyDescent="0.25">
      <c r="R1130">
        <v>593</v>
      </c>
      <c r="S1130" t="s">
        <v>750</v>
      </c>
      <c r="T1130" t="s">
        <v>179</v>
      </c>
      <c r="U1130" t="s">
        <v>364</v>
      </c>
    </row>
    <row r="1131" spans="18:21" x14ac:dyDescent="0.25">
      <c r="R1131">
        <v>568</v>
      </c>
      <c r="S1131" t="s">
        <v>348</v>
      </c>
      <c r="T1131" t="s">
        <v>181</v>
      </c>
      <c r="U1131" t="s">
        <v>364</v>
      </c>
    </row>
    <row r="1132" spans="18:21" x14ac:dyDescent="0.25">
      <c r="R1132">
        <v>568</v>
      </c>
      <c r="S1132" t="s">
        <v>348</v>
      </c>
      <c r="T1132" t="s">
        <v>181</v>
      </c>
      <c r="U1132" t="s">
        <v>364</v>
      </c>
    </row>
    <row r="1133" spans="18:21" x14ac:dyDescent="0.25">
      <c r="R1133">
        <v>576</v>
      </c>
      <c r="S1133" t="s">
        <v>122</v>
      </c>
      <c r="T1133" t="s">
        <v>181</v>
      </c>
      <c r="U1133" t="s">
        <v>364</v>
      </c>
    </row>
    <row r="1134" spans="18:21" x14ac:dyDescent="0.25">
      <c r="R1134">
        <v>576</v>
      </c>
      <c r="S1134" t="s">
        <v>122</v>
      </c>
      <c r="T1134" t="s">
        <v>181</v>
      </c>
      <c r="U1134" t="s">
        <v>364</v>
      </c>
    </row>
    <row r="1135" spans="18:21" x14ac:dyDescent="0.25">
      <c r="R1135">
        <v>597</v>
      </c>
      <c r="S1135" t="s">
        <v>92</v>
      </c>
      <c r="T1135" t="s">
        <v>178</v>
      </c>
      <c r="U1135" t="s">
        <v>364</v>
      </c>
    </row>
    <row r="1136" spans="18:21" x14ac:dyDescent="0.25">
      <c r="R1136">
        <v>597</v>
      </c>
      <c r="S1136" t="s">
        <v>92</v>
      </c>
      <c r="T1136" t="s">
        <v>178</v>
      </c>
      <c r="U1136" t="s">
        <v>364</v>
      </c>
    </row>
    <row r="1137" spans="18:21" x14ac:dyDescent="0.25">
      <c r="R1137">
        <v>569</v>
      </c>
      <c r="S1137" t="s">
        <v>33</v>
      </c>
      <c r="T1137" t="s">
        <v>181</v>
      </c>
      <c r="U1137" t="s">
        <v>364</v>
      </c>
    </row>
    <row r="1138" spans="18:21" x14ac:dyDescent="0.25">
      <c r="R1138">
        <v>569</v>
      </c>
      <c r="S1138" t="s">
        <v>33</v>
      </c>
      <c r="T1138" t="s">
        <v>181</v>
      </c>
      <c r="U1138" t="s">
        <v>364</v>
      </c>
    </row>
    <row r="1139" spans="18:21" x14ac:dyDescent="0.25">
      <c r="R1139">
        <v>599</v>
      </c>
      <c r="S1139" t="s">
        <v>474</v>
      </c>
      <c r="T1139" t="s">
        <v>178</v>
      </c>
      <c r="U1139" t="s">
        <v>364</v>
      </c>
    </row>
    <row r="1140" spans="18:21" x14ac:dyDescent="0.25">
      <c r="R1140">
        <v>599</v>
      </c>
      <c r="S1140" t="s">
        <v>474</v>
      </c>
      <c r="T1140" t="s">
        <v>178</v>
      </c>
      <c r="U1140" t="s">
        <v>364</v>
      </c>
    </row>
    <row r="1141" spans="18:21" x14ac:dyDescent="0.25">
      <c r="R1141">
        <v>596</v>
      </c>
      <c r="S1141" t="s">
        <v>41</v>
      </c>
      <c r="T1141" t="s">
        <v>178</v>
      </c>
      <c r="U1141" t="s">
        <v>364</v>
      </c>
    </row>
    <row r="1142" spans="18:21" x14ac:dyDescent="0.25">
      <c r="R1142">
        <v>596</v>
      </c>
      <c r="S1142" t="s">
        <v>41</v>
      </c>
      <c r="T1142" t="s">
        <v>178</v>
      </c>
      <c r="U1142" t="s">
        <v>364</v>
      </c>
    </row>
    <row r="1143" spans="18:21" x14ac:dyDescent="0.25">
      <c r="R1143">
        <v>589</v>
      </c>
      <c r="S1143" t="s">
        <v>355</v>
      </c>
      <c r="T1143" t="s">
        <v>179</v>
      </c>
      <c r="U1143" t="s">
        <v>364</v>
      </c>
    </row>
    <row r="1144" spans="18:21" x14ac:dyDescent="0.25">
      <c r="R1144">
        <v>589</v>
      </c>
      <c r="S1144" t="s">
        <v>355</v>
      </c>
      <c r="T1144" t="s">
        <v>179</v>
      </c>
      <c r="U1144" t="s">
        <v>364</v>
      </c>
    </row>
    <row r="1145" spans="18:21" x14ac:dyDescent="0.25">
      <c r="R1145">
        <v>579</v>
      </c>
      <c r="S1145" t="s">
        <v>2</v>
      </c>
      <c r="T1145" t="s">
        <v>179</v>
      </c>
      <c r="U1145" t="s">
        <v>364</v>
      </c>
    </row>
    <row r="1146" spans="18:21" x14ac:dyDescent="0.25">
      <c r="R1146">
        <v>579</v>
      </c>
      <c r="S1146" t="s">
        <v>2</v>
      </c>
      <c r="T1146" t="s">
        <v>179</v>
      </c>
      <c r="U1146" t="s">
        <v>364</v>
      </c>
    </row>
    <row r="1147" spans="18:21" x14ac:dyDescent="0.25">
      <c r="R1147">
        <v>573</v>
      </c>
      <c r="S1147" t="s">
        <v>131</v>
      </c>
      <c r="T1147" t="s">
        <v>181</v>
      </c>
      <c r="U1147" t="s">
        <v>364</v>
      </c>
    </row>
    <row r="1148" spans="18:21" x14ac:dyDescent="0.25">
      <c r="R1148">
        <v>573</v>
      </c>
      <c r="S1148" t="s">
        <v>131</v>
      </c>
      <c r="T1148" t="s">
        <v>181</v>
      </c>
      <c r="U1148" t="s">
        <v>364</v>
      </c>
    </row>
    <row r="1149" spans="18:21" x14ac:dyDescent="0.25">
      <c r="R1149">
        <v>577</v>
      </c>
      <c r="S1149" t="s">
        <v>741</v>
      </c>
      <c r="T1149" t="s">
        <v>181</v>
      </c>
      <c r="U1149" t="s">
        <v>364</v>
      </c>
    </row>
    <row r="1150" spans="18:21" x14ac:dyDescent="0.25">
      <c r="R1150">
        <v>577</v>
      </c>
      <c r="S1150" t="s">
        <v>741</v>
      </c>
      <c r="T1150" t="s">
        <v>181</v>
      </c>
      <c r="U1150" t="s">
        <v>364</v>
      </c>
    </row>
    <row r="1151" spans="18:21" x14ac:dyDescent="0.25">
      <c r="R1151">
        <v>584</v>
      </c>
      <c r="S1151" t="s">
        <v>751</v>
      </c>
      <c r="T1151" t="s">
        <v>179</v>
      </c>
      <c r="U1151" t="s">
        <v>364</v>
      </c>
    </row>
    <row r="1152" spans="18:21" x14ac:dyDescent="0.25">
      <c r="R1152">
        <v>584</v>
      </c>
      <c r="S1152" t="s">
        <v>751</v>
      </c>
      <c r="T1152" t="s">
        <v>179</v>
      </c>
      <c r="U1152" t="s">
        <v>364</v>
      </c>
    </row>
    <row r="1153" spans="18:21" x14ac:dyDescent="0.25">
      <c r="R1153">
        <v>574</v>
      </c>
      <c r="S1153" t="s">
        <v>351</v>
      </c>
      <c r="T1153" t="s">
        <v>181</v>
      </c>
      <c r="U1153" t="s">
        <v>364</v>
      </c>
    </row>
    <row r="1154" spans="18:21" x14ac:dyDescent="0.25">
      <c r="R1154">
        <v>574</v>
      </c>
      <c r="S1154" t="s">
        <v>351</v>
      </c>
      <c r="T1154" t="s">
        <v>181</v>
      </c>
      <c r="U1154" t="s">
        <v>364</v>
      </c>
    </row>
    <row r="1155" spans="18:21" x14ac:dyDescent="0.25">
      <c r="R1155">
        <v>575</v>
      </c>
      <c r="S1155" t="s">
        <v>473</v>
      </c>
      <c r="T1155" t="s">
        <v>181</v>
      </c>
      <c r="U1155" t="s">
        <v>364</v>
      </c>
    </row>
    <row r="1156" spans="18:21" x14ac:dyDescent="0.25">
      <c r="R1156">
        <v>575</v>
      </c>
      <c r="S1156" t="s">
        <v>473</v>
      </c>
      <c r="T1156" t="s">
        <v>181</v>
      </c>
      <c r="U1156" t="s">
        <v>364</v>
      </c>
    </row>
    <row r="1157" spans="18:21" x14ac:dyDescent="0.25">
      <c r="R1157">
        <v>565</v>
      </c>
      <c r="S1157" t="s">
        <v>347</v>
      </c>
      <c r="T1157" t="s">
        <v>258</v>
      </c>
      <c r="U1157" t="s">
        <v>364</v>
      </c>
    </row>
    <row r="1158" spans="18:21" x14ac:dyDescent="0.25">
      <c r="R1158">
        <v>565</v>
      </c>
      <c r="S1158" t="s">
        <v>347</v>
      </c>
      <c r="T1158" t="s">
        <v>258</v>
      </c>
      <c r="U1158" t="s">
        <v>364</v>
      </c>
    </row>
    <row r="1159" spans="18:21" x14ac:dyDescent="0.25">
      <c r="R1159">
        <v>578</v>
      </c>
      <c r="S1159" t="s">
        <v>742</v>
      </c>
      <c r="T1159" t="s">
        <v>181</v>
      </c>
      <c r="U1159" t="s">
        <v>364</v>
      </c>
    </row>
    <row r="1160" spans="18:21" x14ac:dyDescent="0.25">
      <c r="R1160">
        <v>578</v>
      </c>
      <c r="S1160" t="s">
        <v>742</v>
      </c>
      <c r="T1160" t="s">
        <v>181</v>
      </c>
      <c r="U1160" t="s">
        <v>364</v>
      </c>
    </row>
    <row r="1161" spans="18:21" x14ac:dyDescent="0.25">
      <c r="R1161">
        <v>562</v>
      </c>
      <c r="S1161" t="s">
        <v>763</v>
      </c>
      <c r="T1161" t="s">
        <v>178</v>
      </c>
      <c r="U1161" t="s">
        <v>753</v>
      </c>
    </row>
    <row r="1162" spans="18:21" x14ac:dyDescent="0.25">
      <c r="R1162">
        <v>562</v>
      </c>
      <c r="S1162" t="s">
        <v>763</v>
      </c>
      <c r="T1162" t="s">
        <v>178</v>
      </c>
      <c r="U1162" t="s">
        <v>753</v>
      </c>
    </row>
    <row r="1163" spans="18:21" x14ac:dyDescent="0.25">
      <c r="R1163">
        <v>543</v>
      </c>
      <c r="S1163" t="s">
        <v>293</v>
      </c>
      <c r="T1163" t="s">
        <v>179</v>
      </c>
      <c r="U1163" t="s">
        <v>753</v>
      </c>
    </row>
    <row r="1164" spans="18:21" x14ac:dyDescent="0.25">
      <c r="R1164">
        <v>543</v>
      </c>
      <c r="S1164" t="s">
        <v>293</v>
      </c>
      <c r="T1164" t="s">
        <v>179</v>
      </c>
      <c r="U1164" t="s">
        <v>753</v>
      </c>
    </row>
    <row r="1165" spans="18:21" x14ac:dyDescent="0.25">
      <c r="R1165">
        <v>546</v>
      </c>
      <c r="S1165" t="s">
        <v>770</v>
      </c>
      <c r="T1165" t="s">
        <v>179</v>
      </c>
      <c r="U1165" t="s">
        <v>753</v>
      </c>
    </row>
    <row r="1166" spans="18:21" x14ac:dyDescent="0.25">
      <c r="R1166">
        <v>546</v>
      </c>
      <c r="S1166" t="s">
        <v>770</v>
      </c>
      <c r="T1166" t="s">
        <v>179</v>
      </c>
      <c r="U1166" t="s">
        <v>753</v>
      </c>
    </row>
    <row r="1167" spans="18:21" x14ac:dyDescent="0.25">
      <c r="R1167">
        <v>533</v>
      </c>
      <c r="S1167" t="s">
        <v>752</v>
      </c>
      <c r="T1167" t="s">
        <v>181</v>
      </c>
      <c r="U1167" t="s">
        <v>753</v>
      </c>
    </row>
    <row r="1168" spans="18:21" x14ac:dyDescent="0.25">
      <c r="R1168">
        <v>533</v>
      </c>
      <c r="S1168" t="s">
        <v>752</v>
      </c>
      <c r="T1168" t="s">
        <v>181</v>
      </c>
      <c r="U1168" t="s">
        <v>753</v>
      </c>
    </row>
    <row r="1169" spans="18:21" x14ac:dyDescent="0.25">
      <c r="R1169">
        <v>534</v>
      </c>
      <c r="S1169" t="s">
        <v>333</v>
      </c>
      <c r="T1169" t="s">
        <v>181</v>
      </c>
      <c r="U1169" t="s">
        <v>753</v>
      </c>
    </row>
    <row r="1170" spans="18:21" x14ac:dyDescent="0.25">
      <c r="R1170">
        <v>534</v>
      </c>
      <c r="S1170" t="s">
        <v>333</v>
      </c>
      <c r="T1170" t="s">
        <v>181</v>
      </c>
      <c r="U1170" t="s">
        <v>753</v>
      </c>
    </row>
    <row r="1171" spans="18:21" x14ac:dyDescent="0.25">
      <c r="R1171">
        <v>554</v>
      </c>
      <c r="S1171" t="s">
        <v>771</v>
      </c>
      <c r="T1171" t="s">
        <v>179</v>
      </c>
      <c r="U1171" t="s">
        <v>753</v>
      </c>
    </row>
    <row r="1172" spans="18:21" x14ac:dyDescent="0.25">
      <c r="R1172">
        <v>554</v>
      </c>
      <c r="S1172" t="s">
        <v>771</v>
      </c>
      <c r="T1172" t="s">
        <v>179</v>
      </c>
      <c r="U1172" t="s">
        <v>753</v>
      </c>
    </row>
    <row r="1173" spans="18:21" x14ac:dyDescent="0.25">
      <c r="R1173">
        <v>531</v>
      </c>
      <c r="S1173" t="s">
        <v>754</v>
      </c>
      <c r="T1173" t="s">
        <v>181</v>
      </c>
      <c r="U1173" t="s">
        <v>753</v>
      </c>
    </row>
    <row r="1174" spans="18:21" x14ac:dyDescent="0.25">
      <c r="R1174">
        <v>531</v>
      </c>
      <c r="S1174" t="s">
        <v>754</v>
      </c>
      <c r="T1174" t="s">
        <v>181</v>
      </c>
      <c r="U1174" t="s">
        <v>753</v>
      </c>
    </row>
    <row r="1175" spans="18:21" x14ac:dyDescent="0.25">
      <c r="R1175">
        <v>555</v>
      </c>
      <c r="S1175" t="s">
        <v>772</v>
      </c>
      <c r="T1175" t="s">
        <v>179</v>
      </c>
      <c r="U1175" t="s">
        <v>753</v>
      </c>
    </row>
    <row r="1176" spans="18:21" x14ac:dyDescent="0.25">
      <c r="R1176">
        <v>555</v>
      </c>
      <c r="S1176" t="s">
        <v>772</v>
      </c>
      <c r="T1176" t="s">
        <v>179</v>
      </c>
      <c r="U1176" t="s">
        <v>753</v>
      </c>
    </row>
    <row r="1177" spans="18:21" x14ac:dyDescent="0.25">
      <c r="R1177">
        <v>535</v>
      </c>
      <c r="S1177" t="s">
        <v>755</v>
      </c>
      <c r="T1177" t="s">
        <v>181</v>
      </c>
      <c r="U1177" t="s">
        <v>753</v>
      </c>
    </row>
    <row r="1178" spans="18:21" x14ac:dyDescent="0.25">
      <c r="R1178">
        <v>535</v>
      </c>
      <c r="S1178" t="s">
        <v>755</v>
      </c>
      <c r="T1178" t="s">
        <v>181</v>
      </c>
      <c r="U1178" t="s">
        <v>753</v>
      </c>
    </row>
    <row r="1179" spans="18:21" x14ac:dyDescent="0.25">
      <c r="R1179">
        <v>544</v>
      </c>
      <c r="S1179" t="s">
        <v>773</v>
      </c>
      <c r="T1179" t="s">
        <v>179</v>
      </c>
      <c r="U1179" t="s">
        <v>753</v>
      </c>
    </row>
    <row r="1180" spans="18:21" x14ac:dyDescent="0.25">
      <c r="R1180">
        <v>544</v>
      </c>
      <c r="S1180" t="s">
        <v>773</v>
      </c>
      <c r="T1180" t="s">
        <v>179</v>
      </c>
      <c r="U1180" t="s">
        <v>753</v>
      </c>
    </row>
    <row r="1181" spans="18:21" x14ac:dyDescent="0.25">
      <c r="R1181">
        <v>547</v>
      </c>
      <c r="S1181" t="s">
        <v>774</v>
      </c>
      <c r="T1181" t="s">
        <v>179</v>
      </c>
      <c r="U1181" t="s">
        <v>753</v>
      </c>
    </row>
    <row r="1182" spans="18:21" x14ac:dyDescent="0.25">
      <c r="R1182">
        <v>547</v>
      </c>
      <c r="S1182" t="s">
        <v>803</v>
      </c>
      <c r="T1182" t="s">
        <v>179</v>
      </c>
      <c r="U1182" t="s">
        <v>753</v>
      </c>
    </row>
    <row r="1183" spans="18:21" x14ac:dyDescent="0.25">
      <c r="R1183">
        <v>556</v>
      </c>
      <c r="S1183" t="s">
        <v>775</v>
      </c>
      <c r="T1183" t="s">
        <v>179</v>
      </c>
      <c r="U1183" t="s">
        <v>753</v>
      </c>
    </row>
    <row r="1184" spans="18:21" x14ac:dyDescent="0.25">
      <c r="R1184">
        <v>556</v>
      </c>
      <c r="S1184" t="s">
        <v>775</v>
      </c>
      <c r="T1184" t="s">
        <v>179</v>
      </c>
      <c r="U1184" t="s">
        <v>753</v>
      </c>
    </row>
    <row r="1185" spans="18:21" x14ac:dyDescent="0.25">
      <c r="R1185">
        <v>557</v>
      </c>
      <c r="S1185" t="s">
        <v>776</v>
      </c>
      <c r="T1185" t="s">
        <v>179</v>
      </c>
      <c r="U1185" t="s">
        <v>753</v>
      </c>
    </row>
    <row r="1186" spans="18:21" x14ac:dyDescent="0.25">
      <c r="R1186">
        <v>557</v>
      </c>
      <c r="S1186" t="s">
        <v>776</v>
      </c>
      <c r="T1186" t="s">
        <v>179</v>
      </c>
      <c r="U1186" t="s">
        <v>753</v>
      </c>
    </row>
    <row r="1187" spans="18:21" x14ac:dyDescent="0.25">
      <c r="R1187">
        <v>536</v>
      </c>
      <c r="S1187" t="s">
        <v>756</v>
      </c>
      <c r="T1187" t="s">
        <v>181</v>
      </c>
      <c r="U1187" t="s">
        <v>753</v>
      </c>
    </row>
    <row r="1188" spans="18:21" x14ac:dyDescent="0.25">
      <c r="R1188">
        <v>536</v>
      </c>
      <c r="S1188" t="s">
        <v>756</v>
      </c>
      <c r="T1188" t="s">
        <v>181</v>
      </c>
      <c r="U1188" t="s">
        <v>753</v>
      </c>
    </row>
    <row r="1189" spans="18:21" x14ac:dyDescent="0.25">
      <c r="R1189">
        <v>537</v>
      </c>
      <c r="S1189" t="s">
        <v>757</v>
      </c>
      <c r="T1189" t="s">
        <v>181</v>
      </c>
      <c r="U1189" t="s">
        <v>753</v>
      </c>
    </row>
    <row r="1190" spans="18:21" x14ac:dyDescent="0.25">
      <c r="R1190">
        <v>537</v>
      </c>
      <c r="S1190" t="s">
        <v>757</v>
      </c>
      <c r="T1190" t="s">
        <v>181</v>
      </c>
      <c r="U1190" t="s">
        <v>753</v>
      </c>
    </row>
    <row r="1191" spans="18:21" x14ac:dyDescent="0.25">
      <c r="R1191">
        <v>532</v>
      </c>
      <c r="S1191" t="s">
        <v>758</v>
      </c>
      <c r="T1191" t="s">
        <v>181</v>
      </c>
      <c r="U1191" t="s">
        <v>753</v>
      </c>
    </row>
    <row r="1192" spans="18:21" x14ac:dyDescent="0.25">
      <c r="R1192">
        <v>532</v>
      </c>
      <c r="S1192" t="s">
        <v>758</v>
      </c>
      <c r="T1192" t="s">
        <v>181</v>
      </c>
      <c r="U1192" t="s">
        <v>753</v>
      </c>
    </row>
    <row r="1193" spans="18:21" x14ac:dyDescent="0.25">
      <c r="R1193">
        <v>560</v>
      </c>
      <c r="S1193" t="s">
        <v>764</v>
      </c>
      <c r="T1193" t="s">
        <v>178</v>
      </c>
      <c r="U1193" t="s">
        <v>753</v>
      </c>
    </row>
    <row r="1194" spans="18:21" x14ac:dyDescent="0.25">
      <c r="R1194">
        <v>560</v>
      </c>
      <c r="S1194" t="s">
        <v>764</v>
      </c>
      <c r="T1194" t="s">
        <v>178</v>
      </c>
      <c r="U1194" t="s">
        <v>753</v>
      </c>
    </row>
    <row r="1195" spans="18:21" x14ac:dyDescent="0.25">
      <c r="R1195">
        <v>538</v>
      </c>
      <c r="S1195" t="s">
        <v>38</v>
      </c>
      <c r="T1195" t="s">
        <v>181</v>
      </c>
      <c r="U1195" t="s">
        <v>753</v>
      </c>
    </row>
    <row r="1196" spans="18:21" x14ac:dyDescent="0.25">
      <c r="R1196">
        <v>538</v>
      </c>
      <c r="S1196" t="s">
        <v>38</v>
      </c>
      <c r="T1196" t="s">
        <v>181</v>
      </c>
      <c r="U1196" t="s">
        <v>753</v>
      </c>
    </row>
    <row r="1197" spans="18:21" x14ac:dyDescent="0.25">
      <c r="R1197">
        <v>563</v>
      </c>
      <c r="S1197" t="s">
        <v>765</v>
      </c>
      <c r="T1197" t="s">
        <v>178</v>
      </c>
      <c r="U1197" t="s">
        <v>753</v>
      </c>
    </row>
    <row r="1198" spans="18:21" x14ac:dyDescent="0.25">
      <c r="R1198">
        <v>563</v>
      </c>
      <c r="S1198" t="s">
        <v>804</v>
      </c>
      <c r="T1198" t="s">
        <v>178</v>
      </c>
      <c r="U1198" t="s">
        <v>753</v>
      </c>
    </row>
    <row r="1199" spans="18:21" x14ac:dyDescent="0.25">
      <c r="R1199">
        <v>252</v>
      </c>
      <c r="S1199" t="s">
        <v>414</v>
      </c>
      <c r="T1199" t="s">
        <v>178</v>
      </c>
      <c r="U1199" t="s">
        <v>753</v>
      </c>
    </row>
    <row r="1200" spans="18:21" x14ac:dyDescent="0.25">
      <c r="R1200">
        <v>252</v>
      </c>
      <c r="S1200" t="s">
        <v>414</v>
      </c>
      <c r="T1200" t="s">
        <v>178</v>
      </c>
      <c r="U1200" t="s">
        <v>753</v>
      </c>
    </row>
    <row r="1201" spans="18:21" x14ac:dyDescent="0.25">
      <c r="R1201">
        <v>678</v>
      </c>
      <c r="S1201" t="s">
        <v>834</v>
      </c>
      <c r="T1201" t="s">
        <v>181</v>
      </c>
      <c r="U1201" t="s">
        <v>753</v>
      </c>
    </row>
    <row r="1202" spans="18:21" x14ac:dyDescent="0.25">
      <c r="R1202">
        <v>678</v>
      </c>
      <c r="S1202" t="s">
        <v>834</v>
      </c>
      <c r="T1202" t="s">
        <v>181</v>
      </c>
      <c r="U1202" t="s">
        <v>753</v>
      </c>
    </row>
    <row r="1203" spans="18:21" x14ac:dyDescent="0.25">
      <c r="R1203">
        <v>558</v>
      </c>
      <c r="S1203" t="s">
        <v>777</v>
      </c>
      <c r="T1203" t="s">
        <v>179</v>
      </c>
      <c r="U1203" t="s">
        <v>753</v>
      </c>
    </row>
    <row r="1204" spans="18:21" x14ac:dyDescent="0.25">
      <c r="R1204">
        <v>558</v>
      </c>
      <c r="S1204" t="s">
        <v>777</v>
      </c>
      <c r="T1204" t="s">
        <v>179</v>
      </c>
      <c r="U1204" t="s">
        <v>753</v>
      </c>
    </row>
    <row r="1205" spans="18:21" x14ac:dyDescent="0.25">
      <c r="R1205">
        <v>561</v>
      </c>
      <c r="S1205" t="s">
        <v>766</v>
      </c>
      <c r="T1205" t="s">
        <v>178</v>
      </c>
      <c r="U1205" t="s">
        <v>753</v>
      </c>
    </row>
    <row r="1206" spans="18:21" x14ac:dyDescent="0.25">
      <c r="R1206">
        <v>561</v>
      </c>
      <c r="S1206" t="s">
        <v>766</v>
      </c>
      <c r="T1206" t="s">
        <v>178</v>
      </c>
      <c r="U1206" t="s">
        <v>753</v>
      </c>
    </row>
    <row r="1207" spans="18:21" x14ac:dyDescent="0.25">
      <c r="R1207">
        <v>529</v>
      </c>
      <c r="S1207" t="s">
        <v>747</v>
      </c>
      <c r="T1207" t="s">
        <v>258</v>
      </c>
      <c r="U1207" t="s">
        <v>753</v>
      </c>
    </row>
    <row r="1208" spans="18:21" x14ac:dyDescent="0.25">
      <c r="R1208">
        <v>529</v>
      </c>
      <c r="S1208" t="s">
        <v>747</v>
      </c>
      <c r="T1208" t="s">
        <v>258</v>
      </c>
      <c r="U1208" t="s">
        <v>753</v>
      </c>
    </row>
    <row r="1209" spans="18:21" x14ac:dyDescent="0.25">
      <c r="R1209">
        <v>548</v>
      </c>
      <c r="S1209" t="s">
        <v>778</v>
      </c>
      <c r="T1209" t="s">
        <v>179</v>
      </c>
      <c r="U1209" t="s">
        <v>753</v>
      </c>
    </row>
    <row r="1210" spans="18:21" x14ac:dyDescent="0.25">
      <c r="R1210">
        <v>548</v>
      </c>
      <c r="S1210" t="s">
        <v>778</v>
      </c>
      <c r="T1210" t="s">
        <v>179</v>
      </c>
      <c r="U1210" t="s">
        <v>753</v>
      </c>
    </row>
    <row r="1211" spans="18:21" x14ac:dyDescent="0.25">
      <c r="R1211">
        <v>549</v>
      </c>
      <c r="S1211" t="s">
        <v>779</v>
      </c>
      <c r="T1211" t="s">
        <v>179</v>
      </c>
      <c r="U1211" t="s">
        <v>753</v>
      </c>
    </row>
    <row r="1212" spans="18:21" x14ac:dyDescent="0.25">
      <c r="R1212">
        <v>549</v>
      </c>
      <c r="S1212" t="s">
        <v>779</v>
      </c>
      <c r="T1212" t="s">
        <v>179</v>
      </c>
      <c r="U1212" t="s">
        <v>753</v>
      </c>
    </row>
    <row r="1213" spans="18:21" x14ac:dyDescent="0.25">
      <c r="R1213">
        <v>530</v>
      </c>
      <c r="S1213" t="s">
        <v>768</v>
      </c>
      <c r="T1213" t="s">
        <v>258</v>
      </c>
      <c r="U1213" t="s">
        <v>753</v>
      </c>
    </row>
    <row r="1214" spans="18:21" x14ac:dyDescent="0.25">
      <c r="R1214">
        <v>530</v>
      </c>
      <c r="S1214" t="s">
        <v>768</v>
      </c>
      <c r="T1214" t="s">
        <v>258</v>
      </c>
      <c r="U1214" t="s">
        <v>753</v>
      </c>
    </row>
    <row r="1215" spans="18:21" x14ac:dyDescent="0.25">
      <c r="R1215">
        <v>539</v>
      </c>
      <c r="S1215" t="s">
        <v>759</v>
      </c>
      <c r="T1215" t="s">
        <v>181</v>
      </c>
      <c r="U1215" t="s">
        <v>753</v>
      </c>
    </row>
    <row r="1216" spans="18:21" x14ac:dyDescent="0.25">
      <c r="R1216">
        <v>539</v>
      </c>
      <c r="S1216" t="s">
        <v>759</v>
      </c>
      <c r="T1216" t="s">
        <v>181</v>
      </c>
      <c r="U1216" t="s">
        <v>753</v>
      </c>
    </row>
    <row r="1217" spans="18:21" x14ac:dyDescent="0.25">
      <c r="R1217">
        <v>528</v>
      </c>
      <c r="S1217" t="s">
        <v>103</v>
      </c>
      <c r="T1217" t="s">
        <v>258</v>
      </c>
      <c r="U1217" t="s">
        <v>753</v>
      </c>
    </row>
    <row r="1218" spans="18:21" x14ac:dyDescent="0.25">
      <c r="R1218">
        <v>528</v>
      </c>
      <c r="S1218" t="s">
        <v>103</v>
      </c>
      <c r="T1218" t="s">
        <v>258</v>
      </c>
      <c r="U1218" t="s">
        <v>753</v>
      </c>
    </row>
    <row r="1219" spans="18:21" x14ac:dyDescent="0.25">
      <c r="R1219">
        <v>540</v>
      </c>
      <c r="S1219" t="s">
        <v>760</v>
      </c>
      <c r="T1219" t="s">
        <v>181</v>
      </c>
      <c r="U1219" t="s">
        <v>753</v>
      </c>
    </row>
    <row r="1220" spans="18:21" x14ac:dyDescent="0.25">
      <c r="R1220">
        <v>540</v>
      </c>
      <c r="S1220" t="s">
        <v>760</v>
      </c>
      <c r="T1220" t="s">
        <v>181</v>
      </c>
      <c r="U1220" t="s">
        <v>753</v>
      </c>
    </row>
    <row r="1221" spans="18:21" x14ac:dyDescent="0.25">
      <c r="R1221">
        <v>550</v>
      </c>
      <c r="S1221" t="s">
        <v>780</v>
      </c>
      <c r="T1221" t="s">
        <v>179</v>
      </c>
      <c r="U1221" t="s">
        <v>753</v>
      </c>
    </row>
    <row r="1222" spans="18:21" x14ac:dyDescent="0.25">
      <c r="R1222">
        <v>550</v>
      </c>
      <c r="S1222" t="s">
        <v>780</v>
      </c>
      <c r="T1222" t="s">
        <v>179</v>
      </c>
      <c r="U1222" t="s">
        <v>753</v>
      </c>
    </row>
    <row r="1223" spans="18:21" x14ac:dyDescent="0.25">
      <c r="R1223">
        <v>541</v>
      </c>
      <c r="S1223" t="s">
        <v>761</v>
      </c>
      <c r="T1223" t="s">
        <v>181</v>
      </c>
      <c r="U1223" t="s">
        <v>753</v>
      </c>
    </row>
    <row r="1224" spans="18:21" x14ac:dyDescent="0.25">
      <c r="R1224">
        <v>541</v>
      </c>
      <c r="S1224" t="s">
        <v>761</v>
      </c>
      <c r="T1224" t="s">
        <v>181</v>
      </c>
      <c r="U1224" t="s">
        <v>753</v>
      </c>
    </row>
    <row r="1225" spans="18:21" x14ac:dyDescent="0.25">
      <c r="R1225">
        <v>551</v>
      </c>
      <c r="S1225" t="s">
        <v>781</v>
      </c>
      <c r="T1225" t="s">
        <v>179</v>
      </c>
      <c r="U1225" t="s">
        <v>753</v>
      </c>
    </row>
    <row r="1226" spans="18:21" x14ac:dyDescent="0.25">
      <c r="R1226">
        <v>551</v>
      </c>
      <c r="S1226" t="s">
        <v>781</v>
      </c>
      <c r="T1226" t="s">
        <v>179</v>
      </c>
      <c r="U1226" t="s">
        <v>753</v>
      </c>
    </row>
    <row r="1227" spans="18:21" x14ac:dyDescent="0.25">
      <c r="R1227">
        <v>545</v>
      </c>
      <c r="S1227" t="s">
        <v>636</v>
      </c>
      <c r="T1227" t="s">
        <v>179</v>
      </c>
      <c r="U1227" t="s">
        <v>753</v>
      </c>
    </row>
    <row r="1228" spans="18:21" x14ac:dyDescent="0.25">
      <c r="R1228">
        <v>545</v>
      </c>
      <c r="S1228" t="s">
        <v>636</v>
      </c>
      <c r="T1228" t="s">
        <v>179</v>
      </c>
      <c r="U1228" t="s">
        <v>753</v>
      </c>
    </row>
    <row r="1229" spans="18:21" x14ac:dyDescent="0.25">
      <c r="R1229">
        <v>670</v>
      </c>
      <c r="S1229" t="s">
        <v>769</v>
      </c>
      <c r="T1229" t="s">
        <v>258</v>
      </c>
      <c r="U1229" t="s">
        <v>753</v>
      </c>
    </row>
    <row r="1230" spans="18:21" x14ac:dyDescent="0.25">
      <c r="R1230">
        <v>670</v>
      </c>
      <c r="S1230" t="s">
        <v>769</v>
      </c>
      <c r="T1230" t="s">
        <v>258</v>
      </c>
      <c r="U1230" t="s">
        <v>753</v>
      </c>
    </row>
    <row r="1231" spans="18:21" x14ac:dyDescent="0.25">
      <c r="R1231">
        <v>564</v>
      </c>
      <c r="S1231" t="s">
        <v>767</v>
      </c>
      <c r="T1231" t="s">
        <v>178</v>
      </c>
      <c r="U1231" t="s">
        <v>753</v>
      </c>
    </row>
    <row r="1232" spans="18:21" x14ac:dyDescent="0.25">
      <c r="R1232">
        <v>564</v>
      </c>
      <c r="S1232" t="s">
        <v>767</v>
      </c>
      <c r="T1232" t="s">
        <v>178</v>
      </c>
      <c r="U1232" t="s">
        <v>753</v>
      </c>
    </row>
    <row r="1233" spans="18:21" x14ac:dyDescent="0.25">
      <c r="R1233">
        <v>552</v>
      </c>
      <c r="S1233" t="s">
        <v>782</v>
      </c>
      <c r="T1233" t="s">
        <v>179</v>
      </c>
      <c r="U1233" t="s">
        <v>753</v>
      </c>
    </row>
    <row r="1234" spans="18:21" x14ac:dyDescent="0.25">
      <c r="R1234">
        <v>552</v>
      </c>
      <c r="S1234" t="s">
        <v>782</v>
      </c>
      <c r="T1234" t="s">
        <v>179</v>
      </c>
      <c r="U1234" t="s">
        <v>753</v>
      </c>
    </row>
    <row r="1235" spans="18:21" x14ac:dyDescent="0.25">
      <c r="R1235">
        <v>542</v>
      </c>
      <c r="S1235" t="s">
        <v>762</v>
      </c>
      <c r="T1235" t="s">
        <v>181</v>
      </c>
      <c r="U1235" t="s">
        <v>753</v>
      </c>
    </row>
    <row r="1236" spans="18:21" x14ac:dyDescent="0.25">
      <c r="R1236">
        <v>542</v>
      </c>
      <c r="S1236" t="s">
        <v>762</v>
      </c>
      <c r="T1236" t="s">
        <v>181</v>
      </c>
      <c r="U1236" t="s">
        <v>753</v>
      </c>
    </row>
    <row r="1237" spans="18:21" x14ac:dyDescent="0.25">
      <c r="R1237">
        <v>553</v>
      </c>
      <c r="S1237" t="s">
        <v>783</v>
      </c>
      <c r="T1237" t="s">
        <v>179</v>
      </c>
      <c r="U1237" t="s">
        <v>753</v>
      </c>
    </row>
    <row r="1238" spans="18:21" x14ac:dyDescent="0.25">
      <c r="R1238">
        <v>553</v>
      </c>
      <c r="S1238" t="s">
        <v>783</v>
      </c>
      <c r="T1238" t="s">
        <v>179</v>
      </c>
      <c r="U1238" t="s">
        <v>753</v>
      </c>
    </row>
    <row r="1239" spans="18:21" x14ac:dyDescent="0.25">
      <c r="R1239">
        <v>559</v>
      </c>
      <c r="S1239" t="s">
        <v>784</v>
      </c>
      <c r="T1239" t="s">
        <v>179</v>
      </c>
      <c r="U1239" t="s">
        <v>753</v>
      </c>
    </row>
    <row r="1240" spans="18:21" x14ac:dyDescent="0.25">
      <c r="R1240">
        <v>559</v>
      </c>
      <c r="S1240" t="s">
        <v>784</v>
      </c>
      <c r="T1240" t="s">
        <v>179</v>
      </c>
      <c r="U1240" t="s">
        <v>753</v>
      </c>
    </row>
    <row r="1241" spans="18:21" x14ac:dyDescent="0.25">
      <c r="R1241">
        <v>668</v>
      </c>
      <c r="S1241" t="s">
        <v>785</v>
      </c>
      <c r="T1241" t="s">
        <v>179</v>
      </c>
      <c r="U1241" t="s">
        <v>753</v>
      </c>
    </row>
    <row r="1242" spans="18:21" x14ac:dyDescent="0.25">
      <c r="R1242">
        <v>668</v>
      </c>
      <c r="S1242" t="s">
        <v>785</v>
      </c>
      <c r="T1242" t="s">
        <v>179</v>
      </c>
      <c r="U1242" t="s">
        <v>753</v>
      </c>
    </row>
    <row r="1243" spans="18:21" x14ac:dyDescent="0.25">
      <c r="R1243">
        <v>616</v>
      </c>
      <c r="S1243" t="s">
        <v>136</v>
      </c>
      <c r="T1243" t="s">
        <v>179</v>
      </c>
      <c r="U1243" t="s">
        <v>277</v>
      </c>
    </row>
    <row r="1244" spans="18:21" x14ac:dyDescent="0.25">
      <c r="R1244">
        <v>600</v>
      </c>
      <c r="S1244" t="s">
        <v>165</v>
      </c>
      <c r="T1244" t="s">
        <v>258</v>
      </c>
      <c r="U1244" t="s">
        <v>277</v>
      </c>
    </row>
    <row r="1245" spans="18:21" x14ac:dyDescent="0.25">
      <c r="R1245">
        <v>600</v>
      </c>
      <c r="S1245" t="s">
        <v>165</v>
      </c>
      <c r="T1245" t="s">
        <v>258</v>
      </c>
      <c r="U1245" t="s">
        <v>277</v>
      </c>
    </row>
    <row r="1246" spans="18:21" x14ac:dyDescent="0.25">
      <c r="R1246">
        <v>624</v>
      </c>
      <c r="S1246" t="s">
        <v>12</v>
      </c>
      <c r="T1246" t="s">
        <v>178</v>
      </c>
      <c r="U1246" t="s">
        <v>277</v>
      </c>
    </row>
    <row r="1247" spans="18:21" x14ac:dyDescent="0.25">
      <c r="R1247">
        <v>624</v>
      </c>
      <c r="S1247" t="s">
        <v>12</v>
      </c>
      <c r="T1247" t="s">
        <v>178</v>
      </c>
      <c r="U1247" t="s">
        <v>277</v>
      </c>
    </row>
    <row r="1248" spans="18:21" x14ac:dyDescent="0.25">
      <c r="R1248">
        <v>611</v>
      </c>
      <c r="S1248" t="s">
        <v>786</v>
      </c>
      <c r="T1248" t="s">
        <v>181</v>
      </c>
      <c r="U1248" t="s">
        <v>277</v>
      </c>
    </row>
    <row r="1249" spans="18:21" x14ac:dyDescent="0.25">
      <c r="R1249">
        <v>611</v>
      </c>
      <c r="S1249" t="s">
        <v>786</v>
      </c>
      <c r="T1249" t="s">
        <v>181</v>
      </c>
      <c r="U1249" t="s">
        <v>277</v>
      </c>
    </row>
    <row r="1250" spans="18:21" x14ac:dyDescent="0.25">
      <c r="R1250">
        <v>617</v>
      </c>
      <c r="S1250" t="s">
        <v>331</v>
      </c>
      <c r="T1250" t="s">
        <v>179</v>
      </c>
      <c r="U1250" t="s">
        <v>277</v>
      </c>
    </row>
    <row r="1251" spans="18:21" x14ac:dyDescent="0.25">
      <c r="R1251">
        <v>617</v>
      </c>
      <c r="S1251" t="s">
        <v>331</v>
      </c>
      <c r="T1251" t="s">
        <v>179</v>
      </c>
      <c r="U1251" t="s">
        <v>277</v>
      </c>
    </row>
    <row r="1252" spans="18:21" x14ac:dyDescent="0.25">
      <c r="R1252">
        <v>603</v>
      </c>
      <c r="S1252" t="s">
        <v>787</v>
      </c>
      <c r="T1252" t="s">
        <v>181</v>
      </c>
      <c r="U1252" t="s">
        <v>277</v>
      </c>
    </row>
    <row r="1253" spans="18:21" x14ac:dyDescent="0.25">
      <c r="R1253">
        <v>603</v>
      </c>
      <c r="S1253" t="s">
        <v>787</v>
      </c>
      <c r="T1253" t="s">
        <v>181</v>
      </c>
      <c r="U1253" t="s">
        <v>277</v>
      </c>
    </row>
    <row r="1254" spans="18:21" x14ac:dyDescent="0.25">
      <c r="R1254">
        <v>620</v>
      </c>
      <c r="S1254" t="s">
        <v>477</v>
      </c>
      <c r="T1254" t="s">
        <v>179</v>
      </c>
      <c r="U1254" t="s">
        <v>277</v>
      </c>
    </row>
    <row r="1255" spans="18:21" x14ac:dyDescent="0.25">
      <c r="R1255">
        <v>620</v>
      </c>
      <c r="S1255" t="s">
        <v>477</v>
      </c>
      <c r="T1255" t="s">
        <v>179</v>
      </c>
      <c r="U1255" t="s">
        <v>277</v>
      </c>
    </row>
    <row r="1256" spans="18:21" x14ac:dyDescent="0.25">
      <c r="R1256">
        <v>604</v>
      </c>
      <c r="S1256" t="s">
        <v>327</v>
      </c>
      <c r="T1256" t="s">
        <v>181</v>
      </c>
      <c r="U1256" t="s">
        <v>277</v>
      </c>
    </row>
    <row r="1257" spans="18:21" x14ac:dyDescent="0.25">
      <c r="R1257">
        <v>604</v>
      </c>
      <c r="S1257" t="s">
        <v>327</v>
      </c>
      <c r="T1257" t="s">
        <v>181</v>
      </c>
      <c r="U1257" t="s">
        <v>277</v>
      </c>
    </row>
    <row r="1258" spans="18:21" x14ac:dyDescent="0.25">
      <c r="R1258">
        <v>601</v>
      </c>
      <c r="S1258" t="s">
        <v>288</v>
      </c>
      <c r="T1258" t="s">
        <v>258</v>
      </c>
      <c r="U1258" t="s">
        <v>277</v>
      </c>
    </row>
    <row r="1259" spans="18:21" x14ac:dyDescent="0.25">
      <c r="R1259">
        <v>601</v>
      </c>
      <c r="S1259" t="s">
        <v>288</v>
      </c>
      <c r="T1259" t="s">
        <v>258</v>
      </c>
      <c r="U1259" t="s">
        <v>277</v>
      </c>
    </row>
    <row r="1260" spans="18:21" x14ac:dyDescent="0.25">
      <c r="R1260">
        <v>625</v>
      </c>
      <c r="S1260" t="s">
        <v>789</v>
      </c>
      <c r="T1260" t="s">
        <v>178</v>
      </c>
      <c r="U1260" t="s">
        <v>277</v>
      </c>
    </row>
    <row r="1261" spans="18:21" x14ac:dyDescent="0.25">
      <c r="R1261">
        <v>625</v>
      </c>
      <c r="S1261" t="s">
        <v>498</v>
      </c>
      <c r="T1261" t="s">
        <v>178</v>
      </c>
      <c r="U1261" t="s">
        <v>277</v>
      </c>
    </row>
    <row r="1262" spans="18:21" x14ac:dyDescent="0.25">
      <c r="R1262">
        <v>618</v>
      </c>
      <c r="S1262" t="s">
        <v>499</v>
      </c>
      <c r="T1262" t="s">
        <v>179</v>
      </c>
      <c r="U1262" t="s">
        <v>277</v>
      </c>
    </row>
    <row r="1263" spans="18:21" x14ac:dyDescent="0.25">
      <c r="R1263">
        <v>618</v>
      </c>
      <c r="S1263" t="s">
        <v>499</v>
      </c>
      <c r="T1263" t="s">
        <v>179</v>
      </c>
      <c r="U1263" t="s">
        <v>277</v>
      </c>
    </row>
    <row r="1264" spans="18:21" x14ac:dyDescent="0.25">
      <c r="R1264">
        <v>602</v>
      </c>
      <c r="S1264" t="s">
        <v>791</v>
      </c>
      <c r="T1264" t="s">
        <v>258</v>
      </c>
      <c r="U1264" t="s">
        <v>277</v>
      </c>
    </row>
    <row r="1265" spans="18:21" x14ac:dyDescent="0.25">
      <c r="R1265">
        <v>602</v>
      </c>
      <c r="S1265" t="s">
        <v>791</v>
      </c>
      <c r="T1265" t="s">
        <v>258</v>
      </c>
      <c r="U1265" t="s">
        <v>277</v>
      </c>
    </row>
    <row r="1266" spans="18:21" x14ac:dyDescent="0.25">
      <c r="R1266">
        <v>679</v>
      </c>
      <c r="S1266" t="s">
        <v>835</v>
      </c>
      <c r="T1266" t="s">
        <v>258</v>
      </c>
      <c r="U1266" t="s">
        <v>277</v>
      </c>
    </row>
    <row r="1267" spans="18:21" x14ac:dyDescent="0.25">
      <c r="R1267">
        <v>679</v>
      </c>
      <c r="S1267" t="s">
        <v>835</v>
      </c>
      <c r="T1267" t="s">
        <v>258</v>
      </c>
      <c r="U1267" t="s">
        <v>277</v>
      </c>
    </row>
    <row r="1268" spans="18:21" x14ac:dyDescent="0.25">
      <c r="R1268">
        <v>621</v>
      </c>
      <c r="S1268" t="s">
        <v>478</v>
      </c>
      <c r="T1268" t="s">
        <v>179</v>
      </c>
      <c r="U1268" t="s">
        <v>277</v>
      </c>
    </row>
    <row r="1269" spans="18:21" x14ac:dyDescent="0.25">
      <c r="R1269">
        <v>621</v>
      </c>
      <c r="S1269" t="s">
        <v>478</v>
      </c>
      <c r="T1269" t="s">
        <v>179</v>
      </c>
      <c r="U1269" t="s">
        <v>277</v>
      </c>
    </row>
    <row r="1270" spans="18:21" x14ac:dyDescent="0.25">
      <c r="R1270">
        <v>605</v>
      </c>
      <c r="S1270" t="s">
        <v>149</v>
      </c>
      <c r="T1270" t="s">
        <v>181</v>
      </c>
      <c r="U1270" t="s">
        <v>277</v>
      </c>
    </row>
    <row r="1271" spans="18:21" x14ac:dyDescent="0.25">
      <c r="R1271">
        <v>605</v>
      </c>
      <c r="S1271" t="s">
        <v>149</v>
      </c>
      <c r="T1271" t="s">
        <v>181</v>
      </c>
      <c r="U1271" t="s">
        <v>277</v>
      </c>
    </row>
    <row r="1272" spans="18:21" x14ac:dyDescent="0.25">
      <c r="R1272">
        <v>619</v>
      </c>
      <c r="S1272" t="s">
        <v>480</v>
      </c>
      <c r="T1272" t="s">
        <v>179</v>
      </c>
      <c r="U1272" t="s">
        <v>277</v>
      </c>
    </row>
    <row r="1273" spans="18:21" x14ac:dyDescent="0.25">
      <c r="R1273">
        <v>619</v>
      </c>
      <c r="S1273" t="s">
        <v>480</v>
      </c>
      <c r="T1273" t="s">
        <v>179</v>
      </c>
      <c r="U1273" t="s">
        <v>277</v>
      </c>
    </row>
    <row r="1274" spans="18:21" x14ac:dyDescent="0.25">
      <c r="R1274">
        <v>612</v>
      </c>
      <c r="S1274" t="s">
        <v>481</v>
      </c>
      <c r="T1274" t="s">
        <v>179</v>
      </c>
      <c r="U1274" t="s">
        <v>277</v>
      </c>
    </row>
    <row r="1275" spans="18:21" x14ac:dyDescent="0.25">
      <c r="R1275">
        <v>612</v>
      </c>
      <c r="S1275" t="s">
        <v>809</v>
      </c>
      <c r="T1275" t="s">
        <v>179</v>
      </c>
      <c r="U1275" t="s">
        <v>277</v>
      </c>
    </row>
    <row r="1276" spans="18:21" x14ac:dyDescent="0.25">
      <c r="R1276">
        <v>626</v>
      </c>
      <c r="S1276" t="s">
        <v>790</v>
      </c>
      <c r="T1276" t="s">
        <v>178</v>
      </c>
      <c r="U1276" t="s">
        <v>277</v>
      </c>
    </row>
    <row r="1277" spans="18:21" x14ac:dyDescent="0.25">
      <c r="R1277">
        <v>626</v>
      </c>
      <c r="S1277" t="s">
        <v>790</v>
      </c>
      <c r="T1277" t="s">
        <v>178</v>
      </c>
      <c r="U1277" t="s">
        <v>277</v>
      </c>
    </row>
    <row r="1278" spans="18:21" x14ac:dyDescent="0.25">
      <c r="R1278">
        <v>606</v>
      </c>
      <c r="S1278" t="s">
        <v>476</v>
      </c>
      <c r="T1278" t="s">
        <v>181</v>
      </c>
      <c r="U1278" t="s">
        <v>277</v>
      </c>
    </row>
    <row r="1279" spans="18:21" x14ac:dyDescent="0.25">
      <c r="R1279">
        <v>606</v>
      </c>
      <c r="S1279" t="s">
        <v>476</v>
      </c>
      <c r="T1279" t="s">
        <v>181</v>
      </c>
      <c r="U1279" t="s">
        <v>277</v>
      </c>
    </row>
    <row r="1280" spans="18:21" x14ac:dyDescent="0.25">
      <c r="R1280">
        <v>607</v>
      </c>
      <c r="S1280" t="s">
        <v>307</v>
      </c>
      <c r="T1280" t="s">
        <v>181</v>
      </c>
      <c r="U1280" t="s">
        <v>277</v>
      </c>
    </row>
    <row r="1281" spans="18:21" x14ac:dyDescent="0.25">
      <c r="R1281">
        <v>607</v>
      </c>
      <c r="S1281" t="s">
        <v>307</v>
      </c>
      <c r="T1281" t="s">
        <v>181</v>
      </c>
      <c r="U1281" t="s">
        <v>277</v>
      </c>
    </row>
    <row r="1282" spans="18:21" x14ac:dyDescent="0.25">
      <c r="R1282">
        <v>622</v>
      </c>
      <c r="S1282" t="s">
        <v>792</v>
      </c>
      <c r="T1282" t="s">
        <v>179</v>
      </c>
      <c r="U1282" t="s">
        <v>277</v>
      </c>
    </row>
    <row r="1283" spans="18:21" x14ac:dyDescent="0.25">
      <c r="R1283">
        <v>622</v>
      </c>
      <c r="S1283" t="s">
        <v>792</v>
      </c>
      <c r="T1283" t="s">
        <v>179</v>
      </c>
      <c r="U1283" t="s">
        <v>277</v>
      </c>
    </row>
    <row r="1284" spans="18:21" x14ac:dyDescent="0.25">
      <c r="R1284">
        <v>623</v>
      </c>
      <c r="S1284" t="s">
        <v>793</v>
      </c>
      <c r="T1284" t="s">
        <v>179</v>
      </c>
      <c r="U1284" t="s">
        <v>277</v>
      </c>
    </row>
    <row r="1285" spans="18:21" x14ac:dyDescent="0.25">
      <c r="R1285">
        <v>623</v>
      </c>
      <c r="S1285" t="s">
        <v>793</v>
      </c>
      <c r="T1285" t="s">
        <v>179</v>
      </c>
      <c r="U1285" t="s">
        <v>277</v>
      </c>
    </row>
    <row r="1286" spans="18:21" x14ac:dyDescent="0.25">
      <c r="R1286">
        <v>608</v>
      </c>
      <c r="S1286" t="s">
        <v>788</v>
      </c>
      <c r="T1286" t="s">
        <v>181</v>
      </c>
      <c r="U1286" t="s">
        <v>277</v>
      </c>
    </row>
    <row r="1287" spans="18:21" x14ac:dyDescent="0.25">
      <c r="R1287">
        <v>608</v>
      </c>
      <c r="S1287" t="s">
        <v>788</v>
      </c>
      <c r="T1287" t="s">
        <v>181</v>
      </c>
      <c r="U1287" t="s">
        <v>277</v>
      </c>
    </row>
    <row r="1288" spans="18:21" x14ac:dyDescent="0.25">
      <c r="R1288">
        <v>613</v>
      </c>
      <c r="S1288" t="s">
        <v>42</v>
      </c>
      <c r="T1288" t="s">
        <v>179</v>
      </c>
      <c r="U1288" t="s">
        <v>277</v>
      </c>
    </row>
    <row r="1289" spans="18:21" x14ac:dyDescent="0.25">
      <c r="R1289">
        <v>613</v>
      </c>
      <c r="S1289" t="s">
        <v>42</v>
      </c>
      <c r="T1289" t="s">
        <v>179</v>
      </c>
      <c r="U1289" t="s">
        <v>277</v>
      </c>
    </row>
    <row r="1290" spans="18:21" x14ac:dyDescent="0.25">
      <c r="R1290">
        <v>615</v>
      </c>
      <c r="S1290" t="s">
        <v>495</v>
      </c>
      <c r="T1290" t="s">
        <v>179</v>
      </c>
      <c r="U1290" t="s">
        <v>277</v>
      </c>
    </row>
    <row r="1291" spans="18:21" x14ac:dyDescent="0.25">
      <c r="R1291">
        <v>615</v>
      </c>
      <c r="S1291" t="s">
        <v>495</v>
      </c>
      <c r="T1291" t="s">
        <v>179</v>
      </c>
      <c r="U1291" t="s">
        <v>277</v>
      </c>
    </row>
    <row r="1292" spans="18:21" x14ac:dyDescent="0.25">
      <c r="R1292">
        <v>609</v>
      </c>
      <c r="S1292" t="s">
        <v>501</v>
      </c>
      <c r="T1292" t="s">
        <v>181</v>
      </c>
      <c r="U1292" t="s">
        <v>277</v>
      </c>
    </row>
    <row r="1293" spans="18:21" x14ac:dyDescent="0.25">
      <c r="R1293">
        <v>609</v>
      </c>
      <c r="S1293" t="s">
        <v>501</v>
      </c>
      <c r="T1293" t="s">
        <v>181</v>
      </c>
      <c r="U1293" t="s">
        <v>277</v>
      </c>
    </row>
    <row r="1294" spans="18:21" x14ac:dyDescent="0.25">
      <c r="R1294">
        <v>659</v>
      </c>
      <c r="S1294" t="s">
        <v>468</v>
      </c>
      <c r="T1294" t="s">
        <v>181</v>
      </c>
      <c r="U1294" t="s">
        <v>277</v>
      </c>
    </row>
    <row r="1295" spans="18:21" x14ac:dyDescent="0.25">
      <c r="R1295">
        <v>659</v>
      </c>
      <c r="S1295" t="s">
        <v>468</v>
      </c>
      <c r="T1295" t="s">
        <v>181</v>
      </c>
      <c r="U1295" t="s">
        <v>277</v>
      </c>
    </row>
    <row r="1296" spans="18:21" x14ac:dyDescent="0.25">
      <c r="R1296">
        <v>610</v>
      </c>
      <c r="S1296" t="s">
        <v>141</v>
      </c>
      <c r="T1296" t="s">
        <v>181</v>
      </c>
      <c r="U1296" t="s">
        <v>277</v>
      </c>
    </row>
    <row r="1297" spans="18:21" x14ac:dyDescent="0.25">
      <c r="R1297">
        <v>610</v>
      </c>
      <c r="S1297" t="s">
        <v>141</v>
      </c>
      <c r="T1297" t="s">
        <v>181</v>
      </c>
      <c r="U1297" t="s">
        <v>277</v>
      </c>
    </row>
    <row r="1298" spans="18:21" x14ac:dyDescent="0.25">
      <c r="R1298">
        <v>614</v>
      </c>
      <c r="S1298" t="s">
        <v>482</v>
      </c>
      <c r="T1298" t="s">
        <v>179</v>
      </c>
      <c r="U1298" t="s">
        <v>277</v>
      </c>
    </row>
    <row r="1299" spans="18:21" x14ac:dyDescent="0.25">
      <c r="R1299">
        <v>614</v>
      </c>
      <c r="S1299" t="s">
        <v>482</v>
      </c>
      <c r="T1299" t="s">
        <v>179</v>
      </c>
      <c r="U1299" t="s">
        <v>277</v>
      </c>
    </row>
    <row r="1300" spans="18:21" x14ac:dyDescent="0.25">
      <c r="R1300">
        <v>671</v>
      </c>
      <c r="S1300" t="s">
        <v>19</v>
      </c>
      <c r="T1300" t="s">
        <v>178</v>
      </c>
      <c r="U1300" t="s">
        <v>277</v>
      </c>
    </row>
    <row r="1301" spans="18:21" x14ac:dyDescent="0.25">
      <c r="R1301">
        <v>671</v>
      </c>
      <c r="S1301" t="s">
        <v>19</v>
      </c>
      <c r="T1301" t="s">
        <v>178</v>
      </c>
      <c r="U1301" t="s">
        <v>277</v>
      </c>
    </row>
    <row r="1302" spans="18:21" x14ac:dyDescent="0.25">
      <c r="R1302">
        <v>616</v>
      </c>
      <c r="S1302" t="s">
        <v>814</v>
      </c>
      <c r="T1302" t="s">
        <v>179</v>
      </c>
      <c r="U1302" t="s">
        <v>277</v>
      </c>
    </row>
    <row r="1303" spans="18:21" x14ac:dyDescent="0.25">
      <c r="R1303">
        <v>631</v>
      </c>
      <c r="S1303" t="s">
        <v>794</v>
      </c>
      <c r="T1303" t="s">
        <v>181</v>
      </c>
      <c r="U1303" t="s">
        <v>312</v>
      </c>
    </row>
    <row r="1304" spans="18:21" x14ac:dyDescent="0.25">
      <c r="R1304">
        <v>631</v>
      </c>
      <c r="S1304" t="s">
        <v>794</v>
      </c>
      <c r="T1304" t="s">
        <v>181</v>
      </c>
      <c r="U1304" t="s">
        <v>312</v>
      </c>
    </row>
    <row r="1305" spans="18:21" x14ac:dyDescent="0.25">
      <c r="R1305">
        <v>643</v>
      </c>
      <c r="S1305" t="s">
        <v>797</v>
      </c>
      <c r="T1305" t="s">
        <v>179</v>
      </c>
      <c r="U1305" t="s">
        <v>312</v>
      </c>
    </row>
    <row r="1306" spans="18:21" x14ac:dyDescent="0.25">
      <c r="R1306">
        <v>643</v>
      </c>
      <c r="S1306" t="s">
        <v>812</v>
      </c>
      <c r="T1306" t="s">
        <v>179</v>
      </c>
      <c r="U1306" t="s">
        <v>312</v>
      </c>
    </row>
    <row r="1307" spans="18:21" x14ac:dyDescent="0.25">
      <c r="R1307">
        <v>649</v>
      </c>
      <c r="S1307" t="s">
        <v>490</v>
      </c>
      <c r="T1307" t="s">
        <v>179</v>
      </c>
      <c r="U1307" t="s">
        <v>312</v>
      </c>
    </row>
    <row r="1308" spans="18:21" x14ac:dyDescent="0.25">
      <c r="R1308">
        <v>649</v>
      </c>
      <c r="S1308" t="s">
        <v>490</v>
      </c>
      <c r="T1308" t="s">
        <v>179</v>
      </c>
      <c r="U1308" t="s">
        <v>312</v>
      </c>
    </row>
    <row r="1309" spans="18:21" x14ac:dyDescent="0.25">
      <c r="R1309">
        <v>644</v>
      </c>
      <c r="S1309" t="s">
        <v>491</v>
      </c>
      <c r="T1309" t="s">
        <v>179</v>
      </c>
      <c r="U1309" t="s">
        <v>312</v>
      </c>
    </row>
    <row r="1310" spans="18:21" x14ac:dyDescent="0.25">
      <c r="R1310">
        <v>644</v>
      </c>
      <c r="S1310" t="s">
        <v>491</v>
      </c>
      <c r="T1310" t="s">
        <v>179</v>
      </c>
      <c r="U1310" t="s">
        <v>312</v>
      </c>
    </row>
    <row r="1311" spans="18:21" x14ac:dyDescent="0.25">
      <c r="R1311">
        <v>629</v>
      </c>
      <c r="S1311" t="s">
        <v>343</v>
      </c>
      <c r="T1311" t="s">
        <v>258</v>
      </c>
      <c r="U1311" t="s">
        <v>312</v>
      </c>
    </row>
    <row r="1312" spans="18:21" x14ac:dyDescent="0.25">
      <c r="R1312">
        <v>629</v>
      </c>
      <c r="S1312" t="s">
        <v>343</v>
      </c>
      <c r="T1312" t="s">
        <v>258</v>
      </c>
      <c r="U1312" t="s">
        <v>312</v>
      </c>
    </row>
    <row r="1313" spans="18:21" x14ac:dyDescent="0.25">
      <c r="R1313">
        <v>650</v>
      </c>
      <c r="S1313" t="s">
        <v>492</v>
      </c>
      <c r="T1313" t="s">
        <v>179</v>
      </c>
      <c r="U1313" t="s">
        <v>312</v>
      </c>
    </row>
    <row r="1314" spans="18:21" x14ac:dyDescent="0.25">
      <c r="R1314">
        <v>650</v>
      </c>
      <c r="S1314" t="s">
        <v>492</v>
      </c>
      <c r="T1314" t="s">
        <v>179</v>
      </c>
      <c r="U1314" t="s">
        <v>312</v>
      </c>
    </row>
    <row r="1315" spans="18:21" x14ac:dyDescent="0.25">
      <c r="R1315">
        <v>657</v>
      </c>
      <c r="S1315" t="s">
        <v>487</v>
      </c>
      <c r="T1315" t="s">
        <v>178</v>
      </c>
      <c r="U1315" t="s">
        <v>312</v>
      </c>
    </row>
    <row r="1316" spans="18:21" x14ac:dyDescent="0.25">
      <c r="R1316">
        <v>657</v>
      </c>
      <c r="S1316" t="s">
        <v>487</v>
      </c>
      <c r="T1316" t="s">
        <v>178</v>
      </c>
      <c r="U1316" t="s">
        <v>312</v>
      </c>
    </row>
    <row r="1317" spans="18:21" x14ac:dyDescent="0.25">
      <c r="R1317">
        <v>632</v>
      </c>
      <c r="S1317" t="s">
        <v>45</v>
      </c>
      <c r="T1317" t="s">
        <v>181</v>
      </c>
      <c r="U1317" t="s">
        <v>312</v>
      </c>
    </row>
    <row r="1318" spans="18:21" x14ac:dyDescent="0.25">
      <c r="R1318">
        <v>632</v>
      </c>
      <c r="S1318" t="s">
        <v>45</v>
      </c>
      <c r="T1318" t="s">
        <v>181</v>
      </c>
      <c r="U1318" t="s">
        <v>312</v>
      </c>
    </row>
    <row r="1319" spans="18:21" x14ac:dyDescent="0.25">
      <c r="R1319">
        <v>651</v>
      </c>
      <c r="S1319" t="s">
        <v>471</v>
      </c>
      <c r="T1319" t="s">
        <v>179</v>
      </c>
      <c r="U1319" t="s">
        <v>312</v>
      </c>
    </row>
    <row r="1320" spans="18:21" x14ac:dyDescent="0.25">
      <c r="R1320">
        <v>651</v>
      </c>
      <c r="S1320" t="s">
        <v>471</v>
      </c>
      <c r="T1320" t="s">
        <v>179</v>
      </c>
      <c r="U1320" t="s">
        <v>312</v>
      </c>
    </row>
    <row r="1321" spans="18:21" x14ac:dyDescent="0.25">
      <c r="R1321">
        <v>655</v>
      </c>
      <c r="S1321" t="s">
        <v>352</v>
      </c>
      <c r="T1321" t="s">
        <v>178</v>
      </c>
      <c r="U1321" t="s">
        <v>312</v>
      </c>
    </row>
    <row r="1322" spans="18:21" x14ac:dyDescent="0.25">
      <c r="R1322">
        <v>645</v>
      </c>
      <c r="S1322" t="s">
        <v>798</v>
      </c>
      <c r="T1322" t="s">
        <v>179</v>
      </c>
      <c r="U1322" t="s">
        <v>312</v>
      </c>
    </row>
    <row r="1323" spans="18:21" x14ac:dyDescent="0.25">
      <c r="R1323">
        <v>645</v>
      </c>
      <c r="S1323" t="s">
        <v>813</v>
      </c>
      <c r="T1323" t="s">
        <v>179</v>
      </c>
      <c r="U1323" t="s">
        <v>312</v>
      </c>
    </row>
    <row r="1324" spans="18:21" x14ac:dyDescent="0.25">
      <c r="R1324">
        <v>658</v>
      </c>
      <c r="S1324" t="s">
        <v>62</v>
      </c>
      <c r="T1324" t="s">
        <v>178</v>
      </c>
      <c r="U1324" t="s">
        <v>312</v>
      </c>
    </row>
    <row r="1325" spans="18:21" x14ac:dyDescent="0.25">
      <c r="R1325">
        <v>658</v>
      </c>
      <c r="S1325" t="s">
        <v>62</v>
      </c>
      <c r="T1325" t="s">
        <v>178</v>
      </c>
      <c r="U1325" t="s">
        <v>312</v>
      </c>
    </row>
    <row r="1326" spans="18:21" x14ac:dyDescent="0.25">
      <c r="R1326">
        <v>655</v>
      </c>
      <c r="S1326" t="s">
        <v>811</v>
      </c>
      <c r="T1326" t="s">
        <v>178</v>
      </c>
      <c r="U1326" t="s">
        <v>312</v>
      </c>
    </row>
    <row r="1327" spans="18:21" x14ac:dyDescent="0.25">
      <c r="R1327">
        <v>646</v>
      </c>
      <c r="S1327" t="s">
        <v>799</v>
      </c>
      <c r="T1327" t="s">
        <v>179</v>
      </c>
      <c r="U1327" t="s">
        <v>312</v>
      </c>
    </row>
    <row r="1328" spans="18:21" x14ac:dyDescent="0.25">
      <c r="R1328">
        <v>646</v>
      </c>
      <c r="S1328" t="s">
        <v>799</v>
      </c>
      <c r="T1328" t="s">
        <v>179</v>
      </c>
      <c r="U1328" t="s">
        <v>312</v>
      </c>
    </row>
    <row r="1329" spans="18:21" x14ac:dyDescent="0.25">
      <c r="R1329">
        <v>652</v>
      </c>
      <c r="S1329" t="s">
        <v>493</v>
      </c>
      <c r="T1329" t="s">
        <v>179</v>
      </c>
      <c r="U1329" t="s">
        <v>312</v>
      </c>
    </row>
    <row r="1330" spans="18:21" x14ac:dyDescent="0.25">
      <c r="R1330">
        <v>652</v>
      </c>
      <c r="S1330" t="s">
        <v>493</v>
      </c>
      <c r="T1330" t="s">
        <v>179</v>
      </c>
      <c r="U1330" t="s">
        <v>312</v>
      </c>
    </row>
    <row r="1331" spans="18:21" x14ac:dyDescent="0.25">
      <c r="R1331">
        <v>647</v>
      </c>
      <c r="S1331" t="s">
        <v>329</v>
      </c>
      <c r="T1331" t="s">
        <v>179</v>
      </c>
      <c r="U1331" t="s">
        <v>312</v>
      </c>
    </row>
    <row r="1332" spans="18:21" x14ac:dyDescent="0.25">
      <c r="R1332">
        <v>647</v>
      </c>
      <c r="S1332" t="s">
        <v>329</v>
      </c>
      <c r="T1332" t="s">
        <v>179</v>
      </c>
      <c r="U1332" t="s">
        <v>312</v>
      </c>
    </row>
    <row r="1333" spans="18:21" x14ac:dyDescent="0.25">
      <c r="R1333">
        <v>633</v>
      </c>
      <c r="S1333" t="s">
        <v>483</v>
      </c>
      <c r="T1333" t="s">
        <v>181</v>
      </c>
      <c r="U1333" t="s">
        <v>312</v>
      </c>
    </row>
    <row r="1334" spans="18:21" x14ac:dyDescent="0.25">
      <c r="R1334">
        <v>633</v>
      </c>
      <c r="S1334" t="s">
        <v>483</v>
      </c>
      <c r="T1334" t="s">
        <v>181</v>
      </c>
      <c r="U1334" t="s">
        <v>312</v>
      </c>
    </row>
    <row r="1335" spans="18:21" x14ac:dyDescent="0.25">
      <c r="R1335">
        <v>642</v>
      </c>
      <c r="S1335" t="s">
        <v>315</v>
      </c>
      <c r="T1335" t="s">
        <v>179</v>
      </c>
      <c r="U1335" t="s">
        <v>312</v>
      </c>
    </row>
    <row r="1336" spans="18:21" x14ac:dyDescent="0.25">
      <c r="R1336">
        <v>642</v>
      </c>
      <c r="S1336" t="s">
        <v>315</v>
      </c>
      <c r="T1336" t="s">
        <v>179</v>
      </c>
      <c r="U1336" t="s">
        <v>312</v>
      </c>
    </row>
    <row r="1337" spans="18:21" x14ac:dyDescent="0.25">
      <c r="R1337">
        <v>653</v>
      </c>
      <c r="S1337" t="s">
        <v>335</v>
      </c>
      <c r="T1337" t="s">
        <v>179</v>
      </c>
      <c r="U1337" t="s">
        <v>312</v>
      </c>
    </row>
    <row r="1338" spans="18:21" x14ac:dyDescent="0.25">
      <c r="R1338">
        <v>653</v>
      </c>
      <c r="S1338" t="s">
        <v>335</v>
      </c>
      <c r="T1338" t="s">
        <v>179</v>
      </c>
      <c r="U1338" t="s">
        <v>312</v>
      </c>
    </row>
    <row r="1339" spans="18:21" x14ac:dyDescent="0.25">
      <c r="R1339">
        <v>638</v>
      </c>
      <c r="S1339" t="s">
        <v>345</v>
      </c>
      <c r="T1339" t="s">
        <v>181</v>
      </c>
      <c r="U1339" t="s">
        <v>312</v>
      </c>
    </row>
    <row r="1340" spans="18:21" x14ac:dyDescent="0.25">
      <c r="R1340">
        <v>638</v>
      </c>
      <c r="S1340" t="s">
        <v>345</v>
      </c>
      <c r="T1340" t="s">
        <v>181</v>
      </c>
      <c r="U1340" t="s">
        <v>312</v>
      </c>
    </row>
    <row r="1341" spans="18:21" x14ac:dyDescent="0.25">
      <c r="R1341">
        <v>663</v>
      </c>
      <c r="S1341" t="s">
        <v>800</v>
      </c>
      <c r="T1341" t="s">
        <v>179</v>
      </c>
      <c r="U1341" t="s">
        <v>312</v>
      </c>
    </row>
    <row r="1342" spans="18:21" x14ac:dyDescent="0.25">
      <c r="R1342">
        <v>663</v>
      </c>
      <c r="S1342" t="s">
        <v>800</v>
      </c>
      <c r="T1342" t="s">
        <v>179</v>
      </c>
      <c r="U1342" t="s">
        <v>312</v>
      </c>
    </row>
    <row r="1343" spans="18:21" x14ac:dyDescent="0.25">
      <c r="R1343">
        <v>627</v>
      </c>
      <c r="S1343" t="s">
        <v>130</v>
      </c>
      <c r="T1343" t="s">
        <v>258</v>
      </c>
      <c r="U1343" t="s">
        <v>312</v>
      </c>
    </row>
    <row r="1344" spans="18:21" x14ac:dyDescent="0.25">
      <c r="R1344">
        <v>627</v>
      </c>
      <c r="S1344" t="s">
        <v>130</v>
      </c>
      <c r="T1344" t="s">
        <v>258</v>
      </c>
      <c r="U1344" t="s">
        <v>312</v>
      </c>
    </row>
    <row r="1345" spans="18:21" x14ac:dyDescent="0.25">
      <c r="R1345">
        <v>628</v>
      </c>
      <c r="S1345" t="s">
        <v>489</v>
      </c>
      <c r="T1345" t="s">
        <v>258</v>
      </c>
      <c r="U1345" t="s">
        <v>312</v>
      </c>
    </row>
    <row r="1346" spans="18:21" x14ac:dyDescent="0.25">
      <c r="R1346">
        <v>628</v>
      </c>
      <c r="S1346" t="s">
        <v>808</v>
      </c>
      <c r="T1346" t="s">
        <v>258</v>
      </c>
      <c r="U1346" t="s">
        <v>312</v>
      </c>
    </row>
    <row r="1347" spans="18:21" x14ac:dyDescent="0.25">
      <c r="R1347">
        <v>656</v>
      </c>
      <c r="S1347" t="s">
        <v>354</v>
      </c>
      <c r="T1347" t="s">
        <v>178</v>
      </c>
      <c r="U1347" t="s">
        <v>312</v>
      </c>
    </row>
    <row r="1348" spans="18:21" x14ac:dyDescent="0.25">
      <c r="R1348">
        <v>656</v>
      </c>
      <c r="S1348" t="s">
        <v>810</v>
      </c>
      <c r="T1348" t="s">
        <v>178</v>
      </c>
      <c r="U1348" t="s">
        <v>312</v>
      </c>
    </row>
    <row r="1349" spans="18:21" x14ac:dyDescent="0.25">
      <c r="R1349">
        <v>630</v>
      </c>
      <c r="S1349" t="s">
        <v>344</v>
      </c>
      <c r="T1349" t="s">
        <v>258</v>
      </c>
      <c r="U1349" t="s">
        <v>312</v>
      </c>
    </row>
    <row r="1350" spans="18:21" x14ac:dyDescent="0.25">
      <c r="R1350">
        <v>630</v>
      </c>
      <c r="S1350" t="s">
        <v>344</v>
      </c>
      <c r="T1350" t="s">
        <v>258</v>
      </c>
      <c r="U1350" t="s">
        <v>312</v>
      </c>
    </row>
    <row r="1351" spans="18:21" x14ac:dyDescent="0.25">
      <c r="R1351">
        <v>639</v>
      </c>
      <c r="S1351" t="s">
        <v>795</v>
      </c>
      <c r="T1351" t="s">
        <v>181</v>
      </c>
      <c r="U1351" t="s">
        <v>312</v>
      </c>
    </row>
    <row r="1352" spans="18:21" x14ac:dyDescent="0.25">
      <c r="R1352">
        <v>639</v>
      </c>
      <c r="S1352" t="s">
        <v>795</v>
      </c>
      <c r="T1352" t="s">
        <v>181</v>
      </c>
      <c r="U1352" t="s">
        <v>312</v>
      </c>
    </row>
    <row r="1353" spans="18:21" x14ac:dyDescent="0.25">
      <c r="R1353">
        <v>634</v>
      </c>
      <c r="S1353" t="s">
        <v>484</v>
      </c>
      <c r="T1353" t="s">
        <v>181</v>
      </c>
      <c r="U1353" t="s">
        <v>312</v>
      </c>
    </row>
    <row r="1354" spans="18:21" x14ac:dyDescent="0.25">
      <c r="R1354">
        <v>634</v>
      </c>
      <c r="S1354" t="s">
        <v>484</v>
      </c>
      <c r="T1354" t="s">
        <v>181</v>
      </c>
      <c r="U1354" t="s">
        <v>312</v>
      </c>
    </row>
    <row r="1355" spans="18:21" x14ac:dyDescent="0.25">
      <c r="R1355">
        <v>648</v>
      </c>
      <c r="S1355" t="s">
        <v>801</v>
      </c>
      <c r="T1355" t="s">
        <v>179</v>
      </c>
      <c r="U1355" t="s">
        <v>312</v>
      </c>
    </row>
    <row r="1356" spans="18:21" x14ac:dyDescent="0.25">
      <c r="R1356">
        <v>648</v>
      </c>
      <c r="S1356" t="s">
        <v>801</v>
      </c>
      <c r="T1356" t="s">
        <v>179</v>
      </c>
      <c r="U1356" t="s">
        <v>312</v>
      </c>
    </row>
    <row r="1357" spans="18:21" x14ac:dyDescent="0.25">
      <c r="R1357">
        <v>640</v>
      </c>
      <c r="S1357" t="s">
        <v>485</v>
      </c>
      <c r="T1357" t="s">
        <v>181</v>
      </c>
      <c r="U1357" t="s">
        <v>312</v>
      </c>
    </row>
    <row r="1358" spans="18:21" x14ac:dyDescent="0.25">
      <c r="R1358">
        <v>640</v>
      </c>
      <c r="S1358" t="s">
        <v>485</v>
      </c>
      <c r="T1358" t="s">
        <v>181</v>
      </c>
      <c r="U1358" t="s">
        <v>312</v>
      </c>
    </row>
    <row r="1359" spans="18:21" x14ac:dyDescent="0.25">
      <c r="R1359">
        <v>641</v>
      </c>
      <c r="S1359" t="s">
        <v>796</v>
      </c>
      <c r="T1359" t="s">
        <v>181</v>
      </c>
      <c r="U1359" t="s">
        <v>312</v>
      </c>
    </row>
    <row r="1360" spans="18:21" x14ac:dyDescent="0.25">
      <c r="R1360">
        <v>641</v>
      </c>
      <c r="S1360" t="s">
        <v>796</v>
      </c>
      <c r="T1360" t="s">
        <v>181</v>
      </c>
      <c r="U1360" t="s">
        <v>312</v>
      </c>
    </row>
    <row r="1361" spans="18:21" x14ac:dyDescent="0.25">
      <c r="R1361">
        <v>635</v>
      </c>
      <c r="S1361" t="s">
        <v>494</v>
      </c>
      <c r="T1361" t="s">
        <v>181</v>
      </c>
      <c r="U1361" t="s">
        <v>312</v>
      </c>
    </row>
    <row r="1362" spans="18:21" x14ac:dyDescent="0.25">
      <c r="R1362">
        <v>635</v>
      </c>
      <c r="S1362" t="s">
        <v>494</v>
      </c>
      <c r="T1362" t="s">
        <v>181</v>
      </c>
      <c r="U1362" t="s">
        <v>312</v>
      </c>
    </row>
    <row r="1363" spans="18:21" x14ac:dyDescent="0.25">
      <c r="R1363">
        <v>636</v>
      </c>
      <c r="S1363" t="s">
        <v>486</v>
      </c>
      <c r="T1363" t="s">
        <v>181</v>
      </c>
      <c r="U1363" t="s">
        <v>312</v>
      </c>
    </row>
    <row r="1364" spans="18:21" x14ac:dyDescent="0.25">
      <c r="R1364">
        <v>636</v>
      </c>
      <c r="S1364" t="s">
        <v>486</v>
      </c>
      <c r="T1364" t="s">
        <v>181</v>
      </c>
      <c r="U1364" t="s">
        <v>312</v>
      </c>
    </row>
    <row r="1365" spans="18:21" x14ac:dyDescent="0.25">
      <c r="R1365">
        <v>654</v>
      </c>
      <c r="S1365" t="s">
        <v>488</v>
      </c>
      <c r="T1365" t="s">
        <v>178</v>
      </c>
      <c r="U1365" t="s">
        <v>312</v>
      </c>
    </row>
    <row r="1366" spans="18:21" x14ac:dyDescent="0.25">
      <c r="R1366">
        <v>654</v>
      </c>
      <c r="S1366" t="s">
        <v>488</v>
      </c>
      <c r="T1366" t="s">
        <v>178</v>
      </c>
      <c r="U1366" t="s">
        <v>312</v>
      </c>
    </row>
    <row r="1367" spans="18:21" x14ac:dyDescent="0.25">
      <c r="R1367">
        <v>637</v>
      </c>
      <c r="S1367" t="s">
        <v>102</v>
      </c>
      <c r="T1367" t="s">
        <v>181</v>
      </c>
      <c r="U1367" t="s">
        <v>312</v>
      </c>
    </row>
    <row r="1368" spans="18:21" x14ac:dyDescent="0.25">
      <c r="R1368">
        <v>637</v>
      </c>
      <c r="S1368" t="s">
        <v>102</v>
      </c>
      <c r="T1368" t="s">
        <v>181</v>
      </c>
      <c r="U1368" t="s">
        <v>312</v>
      </c>
    </row>
  </sheetData>
  <pageMargins left="0.7" right="0.7" top="0.75" bottom="0.75" header="0.3" footer="0.3"/>
  <pageSetup paperSize="9" orientation="portrait" horizontalDpi="90" verticalDpi="90" r:id="rId1"/>
  <drawing r:id="rId2"/>
  <tableParts count="5">
    <tablePart r:id="rId3"/>
    <tablePart r:id="rId4"/>
    <tablePart r:id="rId5"/>
    <tablePart r:id="rId6"/>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1ED55-2AC0-49D1-9E2B-09EEBF79C8F5}">
  <dimension ref="A2:E8"/>
  <sheetViews>
    <sheetView showGridLines="0" workbookViewId="0"/>
  </sheetViews>
  <sheetFormatPr defaultRowHeight="13.2" x14ac:dyDescent="0.25"/>
  <cols>
    <col min="1" max="1" width="2.6640625" customWidth="1"/>
    <col min="2" max="2" width="32.5546875" bestFit="1" customWidth="1"/>
    <col min="3" max="3" width="30.6640625" customWidth="1"/>
    <col min="4" max="4" width="8.6640625" customWidth="1"/>
    <col min="5" max="5" width="30.6640625" customWidth="1"/>
    <col min="6" max="6" width="2.6640625" customWidth="1"/>
  </cols>
  <sheetData>
    <row r="2" spans="1:5" x14ac:dyDescent="0.25">
      <c r="B2" s="16" t="s">
        <v>215</v>
      </c>
      <c r="C2" s="16" t="s">
        <v>216</v>
      </c>
      <c r="D2" s="16" t="s">
        <v>209</v>
      </c>
      <c r="E2" s="16" t="s">
        <v>217</v>
      </c>
    </row>
    <row r="3" spans="1:5" ht="132" customHeight="1" x14ac:dyDescent="0.25">
      <c r="B3" s="17" t="s">
        <v>227</v>
      </c>
      <c r="C3" s="17" t="s">
        <v>229</v>
      </c>
      <c r="D3" s="17" t="s">
        <v>218</v>
      </c>
      <c r="E3" s="17" t="s">
        <v>228</v>
      </c>
    </row>
    <row r="4" spans="1:5" ht="132" customHeight="1" x14ac:dyDescent="0.25">
      <c r="B4" s="14" t="s">
        <v>223</v>
      </c>
      <c r="C4" s="14" t="s">
        <v>222</v>
      </c>
      <c r="D4" s="14" t="s">
        <v>221</v>
      </c>
      <c r="E4" s="14" t="s">
        <v>232</v>
      </c>
    </row>
    <row r="5" spans="1:5" ht="132" customHeight="1" x14ac:dyDescent="0.25">
      <c r="B5" s="17" t="s">
        <v>220</v>
      </c>
      <c r="C5" s="18" t="s">
        <v>237</v>
      </c>
      <c r="D5" s="17" t="s">
        <v>221</v>
      </c>
      <c r="E5" s="17" t="s">
        <v>234</v>
      </c>
    </row>
    <row r="6" spans="1:5" ht="132" customHeight="1" x14ac:dyDescent="0.25">
      <c r="A6" s="13"/>
      <c r="B6" s="14" t="s">
        <v>219</v>
      </c>
      <c r="C6" s="14" t="s">
        <v>235</v>
      </c>
      <c r="D6" s="14" t="s">
        <v>218</v>
      </c>
      <c r="E6" s="14" t="s">
        <v>233</v>
      </c>
    </row>
    <row r="7" spans="1:5" ht="132" customHeight="1" x14ac:dyDescent="0.25">
      <c r="B7" s="17" t="s">
        <v>225</v>
      </c>
      <c r="C7" s="17" t="s">
        <v>224</v>
      </c>
      <c r="D7" s="17" t="s">
        <v>218</v>
      </c>
      <c r="E7" s="17" t="s">
        <v>231</v>
      </c>
    </row>
    <row r="8" spans="1:5" ht="132" customHeight="1" x14ac:dyDescent="0.25">
      <c r="B8" s="15" t="s">
        <v>226</v>
      </c>
      <c r="C8" s="15" t="s">
        <v>230</v>
      </c>
      <c r="D8" s="15" t="s">
        <v>218</v>
      </c>
      <c r="E8" s="15" t="s">
        <v>236</v>
      </c>
    </row>
  </sheetData>
  <pageMargins left="0.7" right="0.7" top="0.75" bottom="0.75" header="0.3" footer="0.3"/>
  <pageSetup paperSize="9" orientation="portrait" r:id="rId1"/>
  <headerFooter>
    <oddHeader>&amp;L&amp;"Arial"&amp;12&amp;K000000 OFFICIAL&amp;1#_x000D_</oddHeader>
    <oddFooter>&amp;L_x000D_&amp;1#&amp;"Arial"&amp;12&amp;K000000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05503FA-4406-4486-B742-1B7F775C9CA5}">
  <ds:schemaRefs>
    <ds:schemaRef ds:uri="http://schemas.microsoft.com/DataMashup"/>
  </ds:schemaRefs>
</ds:datastoreItem>
</file>

<file path=docMetadata/LabelInfo.xml><?xml version="1.0" encoding="utf-8"?>
<clbl:labelList xmlns:clbl="http://schemas.microsoft.com/office/2020/mipLabelMetadata">
  <clbl:label id="{b4199b9c-a89e-442f-9799-431511f14748}" enabled="1" method="Privileged" siteId="{10efe0bd-a030-4bca-809c-b5e6745e499a}"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draft_data</vt:lpstr>
      <vt:lpstr>draft_order</vt:lpstr>
      <vt:lpstr>matrix</vt:lpstr>
      <vt:lpstr>awards</vt:lpstr>
      <vt:lpstr>draft_order!Print_Area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Kent</dc:creator>
  <cp:lastModifiedBy>Andrew Kent (SAS)</cp:lastModifiedBy>
  <cp:lastPrinted>2022-07-24T21:15:23Z</cp:lastPrinted>
  <dcterms:created xsi:type="dcterms:W3CDTF">2022-07-24T16:34:20Z</dcterms:created>
  <dcterms:modified xsi:type="dcterms:W3CDTF">2025-08-14T06:23:11Z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4199b9c-a89e-442f-9799-431511f14748_Enabled">
    <vt:lpwstr>true</vt:lpwstr>
  </property>
  <property fmtid="{D5CDD505-2E9C-101B-9397-08002B2CF9AE}" pid="3" name="MSIP_Label_b4199b9c-a89e-442f-9799-431511f14748_SetDate">
    <vt:lpwstr>2023-07-24T08:13:37Z</vt:lpwstr>
  </property>
  <property fmtid="{D5CDD505-2E9C-101B-9397-08002B2CF9AE}" pid="4" name="MSIP_Label_b4199b9c-a89e-442f-9799-431511f14748_Method">
    <vt:lpwstr>Privileged</vt:lpwstr>
  </property>
  <property fmtid="{D5CDD505-2E9C-101B-9397-08002B2CF9AE}" pid="5" name="MSIP_Label_b4199b9c-a89e-442f-9799-431511f14748_Name">
    <vt:lpwstr>OFFICIAL</vt:lpwstr>
  </property>
  <property fmtid="{D5CDD505-2E9C-101B-9397-08002B2CF9AE}" pid="6" name="MSIP_Label_b4199b9c-a89e-442f-9799-431511f14748_SiteId">
    <vt:lpwstr>10efe0bd-a030-4bca-809c-b5e6745e499a</vt:lpwstr>
  </property>
  <property fmtid="{D5CDD505-2E9C-101B-9397-08002B2CF9AE}" pid="7" name="MSIP_Label_b4199b9c-a89e-442f-9799-431511f14748_ActionId">
    <vt:lpwstr>fca21da4-b79c-4d60-a7dd-8e8ab406a0ce</vt:lpwstr>
  </property>
  <property fmtid="{D5CDD505-2E9C-101B-9397-08002B2CF9AE}" pid="8" name="MSIP_Label_b4199b9c-a89e-442f-9799-431511f14748_ContentBits">
    <vt:lpwstr>3</vt:lpwstr>
  </property>
</Properties>
</file>
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_business_intelligence\sas_bi_clinical_outcomes\r_projects\fantasy_premier_league\inputs\"/>
    </mc:Choice>
  </mc:AlternateContent>
  <xr:revisionPtr revIDLastSave="0" documentId="13_ncr:1_{4AB7EC1F-1E9A-48AF-A577-106B7E11CBEF}" xr6:coauthVersionLast="47" xr6:coauthVersionMax="47" xr10:uidLastSave="{00000000-0000-0000-0000-000000000000}"/>
  <bookViews>
    <workbookView xWindow="12900" yWindow="3060" windowWidth="38700" windowHeight="15435" xr2:uid="{2960B82C-B67C-443E-8033-06C6C24E9B15}"/>
  </bookViews>
  <sheets>
    <sheet name="fixtures" sheetId="1" r:id="rId1"/>
    <sheet name="Sheet1" sheetId="2" r:id="rId2"/>
  </sheets>
  <definedNames>
    <definedName name="_xlnm._FilterDatabase" localSheetId="0" hidden="1">fixtures!$A$1:$J$831</definedName>
    <definedName name="_xlnm._FilterDatabase" localSheetId="1" hidden="1">Sheet1!$A$1:$D$46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3" i="1" l="1"/>
  <c r="I653" i="1"/>
  <c r="H653" i="1"/>
  <c r="G653" i="1"/>
  <c r="J652" i="1"/>
  <c r="I652" i="1"/>
  <c r="H652" i="1"/>
  <c r="G652" i="1"/>
  <c r="J651" i="1"/>
  <c r="I651" i="1"/>
  <c r="H651" i="1"/>
  <c r="G651" i="1"/>
  <c r="J650" i="1"/>
  <c r="I650" i="1"/>
  <c r="H650" i="1"/>
  <c r="G650" i="1"/>
  <c r="J649" i="1"/>
  <c r="I649" i="1"/>
  <c r="H649" i="1"/>
  <c r="G649" i="1"/>
  <c r="J648" i="1"/>
  <c r="I648" i="1"/>
  <c r="H648" i="1"/>
  <c r="G648" i="1"/>
  <c r="J647" i="1"/>
  <c r="I647" i="1"/>
  <c r="H647" i="1"/>
  <c r="G647" i="1"/>
  <c r="J646" i="1"/>
  <c r="I646" i="1"/>
  <c r="H646" i="1"/>
  <c r="G646" i="1"/>
  <c r="J645" i="1"/>
  <c r="I645" i="1"/>
  <c r="H645" i="1"/>
  <c r="G645" i="1"/>
  <c r="J644" i="1"/>
  <c r="I644" i="1"/>
  <c r="H644" i="1"/>
  <c r="G644" i="1"/>
  <c r="J643" i="1"/>
  <c r="I643" i="1"/>
  <c r="H643" i="1"/>
  <c r="G643" i="1"/>
  <c r="J642" i="1"/>
  <c r="I642" i="1"/>
  <c r="H642" i="1"/>
  <c r="G642" i="1"/>
  <c r="J641" i="1"/>
  <c r="I641" i="1"/>
  <c r="H641" i="1"/>
  <c r="G641" i="1"/>
  <c r="J640" i="1"/>
  <c r="I640" i="1"/>
  <c r="H640" i="1"/>
  <c r="G640" i="1"/>
  <c r="J639" i="1"/>
  <c r="I639" i="1"/>
  <c r="H639" i="1"/>
  <c r="G639" i="1"/>
  <c r="J638" i="1"/>
  <c r="I638" i="1"/>
  <c r="H638" i="1"/>
  <c r="G638" i="1"/>
  <c r="J637" i="1"/>
  <c r="I637" i="1"/>
  <c r="H637" i="1"/>
  <c r="G637" i="1"/>
  <c r="J636" i="1"/>
  <c r="I636" i="1"/>
  <c r="H636" i="1"/>
  <c r="G636" i="1"/>
  <c r="J635" i="1"/>
  <c r="I635" i="1"/>
  <c r="H635" i="1"/>
  <c r="G635" i="1"/>
  <c r="J634" i="1"/>
  <c r="I634" i="1"/>
  <c r="H634" i="1"/>
  <c r="G634" i="1"/>
  <c r="J633" i="1"/>
  <c r="I633" i="1"/>
  <c r="H633" i="1"/>
  <c r="G633" i="1"/>
  <c r="J632" i="1"/>
  <c r="I632" i="1"/>
  <c r="H632" i="1"/>
  <c r="G632" i="1"/>
  <c r="J631" i="1"/>
  <c r="I631" i="1"/>
  <c r="H631" i="1"/>
  <c r="G631" i="1"/>
  <c r="J630" i="1"/>
  <c r="I630" i="1"/>
  <c r="H630" i="1"/>
  <c r="G630" i="1"/>
  <c r="J629" i="1"/>
  <c r="I629" i="1"/>
  <c r="H629" i="1"/>
  <c r="G629" i="1"/>
  <c r="J628" i="1"/>
  <c r="I628" i="1"/>
  <c r="H628" i="1"/>
  <c r="G628" i="1"/>
  <c r="J627" i="1"/>
  <c r="I627" i="1"/>
  <c r="H627" i="1"/>
  <c r="G627" i="1"/>
  <c r="J626" i="1"/>
  <c r="I626" i="1"/>
  <c r="H626" i="1"/>
  <c r="G626" i="1"/>
  <c r="J625" i="1"/>
  <c r="I625" i="1"/>
  <c r="H625" i="1"/>
  <c r="G625" i="1"/>
  <c r="J624" i="1"/>
  <c r="I624" i="1"/>
  <c r="H624" i="1"/>
  <c r="G624" i="1"/>
  <c r="J623" i="1"/>
  <c r="I623" i="1"/>
  <c r="H623" i="1"/>
  <c r="G623" i="1"/>
  <c r="J622" i="1"/>
  <c r="I622" i="1"/>
  <c r="H622" i="1"/>
  <c r="G622" i="1"/>
  <c r="J621" i="1"/>
  <c r="I621" i="1"/>
  <c r="H621" i="1"/>
  <c r="G621" i="1"/>
  <c r="J620" i="1"/>
  <c r="I620" i="1"/>
  <c r="H620" i="1"/>
  <c r="G620" i="1"/>
  <c r="J619" i="1"/>
  <c r="I619" i="1"/>
  <c r="H619" i="1"/>
  <c r="G619" i="1"/>
  <c r="J618" i="1"/>
  <c r="I618" i="1"/>
  <c r="H618" i="1"/>
  <c r="G618" i="1"/>
  <c r="J617" i="1"/>
  <c r="I617" i="1"/>
  <c r="H617" i="1"/>
  <c r="G617" i="1"/>
  <c r="J616" i="1"/>
  <c r="I616" i="1"/>
  <c r="H616" i="1"/>
  <c r="G616" i="1"/>
  <c r="J615" i="1"/>
  <c r="I615" i="1"/>
  <c r="H615" i="1"/>
  <c r="G615" i="1"/>
  <c r="J614" i="1"/>
  <c r="I614" i="1"/>
  <c r="H614" i="1"/>
  <c r="G614" i="1"/>
  <c r="J613" i="1"/>
  <c r="I613" i="1"/>
  <c r="H613" i="1"/>
  <c r="G613" i="1"/>
  <c r="J612" i="1"/>
  <c r="I612" i="1"/>
  <c r="H612" i="1"/>
  <c r="G612" i="1"/>
  <c r="J611" i="1"/>
  <c r="I611" i="1"/>
  <c r="H611" i="1"/>
  <c r="G611" i="1"/>
  <c r="J610" i="1"/>
  <c r="I610" i="1"/>
  <c r="H610" i="1"/>
  <c r="G610" i="1"/>
  <c r="J607" i="1"/>
  <c r="I607" i="1"/>
  <c r="H607" i="1"/>
  <c r="G607" i="1"/>
  <c r="J606" i="1"/>
  <c r="I606" i="1"/>
  <c r="H606" i="1"/>
  <c r="G606" i="1"/>
  <c r="J605" i="1"/>
  <c r="I605" i="1"/>
  <c r="H605" i="1"/>
  <c r="G605" i="1"/>
  <c r="J604" i="1"/>
  <c r="I604" i="1"/>
  <c r="H604" i="1"/>
  <c r="G604" i="1"/>
  <c r="J601" i="1"/>
  <c r="I601" i="1"/>
  <c r="H601" i="1"/>
  <c r="G601" i="1"/>
  <c r="J600" i="1"/>
  <c r="I600" i="1"/>
  <c r="H600" i="1"/>
  <c r="G600" i="1"/>
  <c r="J599" i="1"/>
  <c r="I599" i="1"/>
  <c r="H599" i="1"/>
  <c r="G599" i="1"/>
  <c r="J598" i="1"/>
  <c r="I598" i="1"/>
  <c r="H598" i="1"/>
  <c r="G598" i="1"/>
  <c r="J595" i="1"/>
  <c r="I595" i="1"/>
  <c r="H595" i="1"/>
  <c r="G595" i="1"/>
  <c r="J594" i="1"/>
  <c r="I594" i="1"/>
  <c r="H594" i="1"/>
  <c r="G594" i="1"/>
  <c r="J593" i="1"/>
  <c r="I593" i="1"/>
  <c r="H593" i="1"/>
  <c r="G593" i="1"/>
  <c r="J592" i="1"/>
  <c r="I592" i="1"/>
  <c r="H592" i="1"/>
  <c r="G592" i="1"/>
  <c r="J587" i="1"/>
  <c r="I587" i="1"/>
  <c r="H587" i="1"/>
  <c r="G587" i="1"/>
  <c r="J586" i="1"/>
  <c r="I586" i="1"/>
  <c r="H586" i="1"/>
  <c r="G586" i="1"/>
  <c r="J585" i="1"/>
  <c r="I585" i="1"/>
  <c r="H585" i="1"/>
  <c r="G585" i="1"/>
  <c r="J584" i="1"/>
  <c r="I584" i="1"/>
  <c r="H584" i="1"/>
  <c r="G584" i="1"/>
  <c r="J579" i="1"/>
  <c r="I579" i="1"/>
  <c r="H579" i="1"/>
  <c r="G579" i="1"/>
  <c r="J578" i="1"/>
  <c r="I578" i="1"/>
  <c r="H578" i="1"/>
  <c r="G578" i="1"/>
  <c r="J577" i="1"/>
  <c r="I577" i="1"/>
  <c r="H577" i="1"/>
  <c r="G577" i="1"/>
  <c r="J576" i="1"/>
  <c r="I576" i="1"/>
  <c r="H576" i="1"/>
  <c r="G576" i="1"/>
  <c r="J575" i="1"/>
  <c r="I575" i="1"/>
  <c r="H575" i="1"/>
  <c r="G575" i="1"/>
  <c r="J574" i="1"/>
  <c r="I574" i="1"/>
  <c r="H574" i="1"/>
  <c r="G574" i="1"/>
  <c r="J573" i="1"/>
  <c r="I573" i="1"/>
  <c r="H573" i="1"/>
  <c r="G573" i="1"/>
  <c r="J572" i="1"/>
  <c r="I572" i="1"/>
  <c r="H572" i="1"/>
  <c r="G572" i="1"/>
  <c r="J571" i="1"/>
  <c r="I571" i="1"/>
  <c r="H571" i="1"/>
  <c r="G571" i="1"/>
  <c r="J570" i="1"/>
  <c r="I570" i="1"/>
  <c r="H570" i="1"/>
  <c r="G570" i="1"/>
  <c r="J569" i="1"/>
  <c r="I569" i="1"/>
  <c r="H569" i="1"/>
  <c r="G569" i="1"/>
  <c r="J568" i="1"/>
  <c r="I568" i="1"/>
  <c r="H568" i="1"/>
  <c r="G568" i="1"/>
  <c r="J567" i="1"/>
  <c r="I567" i="1"/>
  <c r="H567" i="1"/>
  <c r="G567" i="1"/>
  <c r="J566" i="1"/>
  <c r="I566" i="1"/>
  <c r="H566" i="1"/>
  <c r="G566" i="1"/>
  <c r="J565" i="1"/>
  <c r="I565" i="1"/>
  <c r="H565" i="1"/>
  <c r="G565" i="1"/>
  <c r="J564" i="1"/>
  <c r="I564" i="1"/>
  <c r="H564" i="1"/>
  <c r="G564" i="1"/>
  <c r="J563" i="1"/>
  <c r="I563" i="1"/>
  <c r="H563" i="1"/>
  <c r="G563" i="1"/>
  <c r="J562" i="1"/>
  <c r="I562" i="1"/>
  <c r="H562" i="1"/>
  <c r="G562" i="1"/>
  <c r="J561" i="1"/>
  <c r="I561" i="1"/>
  <c r="H561" i="1"/>
  <c r="G561" i="1"/>
  <c r="J560" i="1"/>
  <c r="I560" i="1"/>
  <c r="H560" i="1"/>
  <c r="G560" i="1"/>
  <c r="J559" i="1"/>
  <c r="I559" i="1"/>
  <c r="H559" i="1"/>
  <c r="G559" i="1"/>
  <c r="J558" i="1"/>
  <c r="I558" i="1"/>
  <c r="H558" i="1"/>
  <c r="G558" i="1"/>
  <c r="J557" i="1"/>
  <c r="I557" i="1"/>
  <c r="H557" i="1"/>
  <c r="G557" i="1"/>
  <c r="J556" i="1"/>
  <c r="I556" i="1"/>
  <c r="H556" i="1"/>
  <c r="G556" i="1"/>
  <c r="J555" i="1"/>
  <c r="I555" i="1"/>
  <c r="H555" i="1"/>
  <c r="G555" i="1"/>
  <c r="J554" i="1"/>
  <c r="I554" i="1"/>
  <c r="H554" i="1"/>
  <c r="G554" i="1"/>
  <c r="J553" i="1"/>
  <c r="I553" i="1"/>
  <c r="H553" i="1"/>
  <c r="G553" i="1"/>
  <c r="J552" i="1"/>
  <c r="I552" i="1"/>
  <c r="H552" i="1"/>
  <c r="G552" i="1"/>
  <c r="J551" i="1"/>
  <c r="I551" i="1"/>
  <c r="H551" i="1"/>
  <c r="G551" i="1"/>
  <c r="J550" i="1"/>
  <c r="I550" i="1"/>
  <c r="H550" i="1"/>
  <c r="G550" i="1"/>
  <c r="J549" i="1"/>
  <c r="I549" i="1"/>
  <c r="H549" i="1"/>
  <c r="G549" i="1"/>
  <c r="J548" i="1"/>
  <c r="I548" i="1"/>
  <c r="H548" i="1"/>
  <c r="G548" i="1"/>
  <c r="J547" i="1"/>
  <c r="I547" i="1"/>
  <c r="H547" i="1"/>
  <c r="G547" i="1"/>
  <c r="J546" i="1"/>
  <c r="I546" i="1"/>
  <c r="H546" i="1"/>
  <c r="G546" i="1"/>
  <c r="J545" i="1"/>
  <c r="I545" i="1"/>
  <c r="H545" i="1"/>
  <c r="G545" i="1"/>
  <c r="J544" i="1"/>
  <c r="I544" i="1"/>
  <c r="H544" i="1"/>
  <c r="G544" i="1"/>
  <c r="J543" i="1"/>
  <c r="I543" i="1"/>
  <c r="H543" i="1"/>
  <c r="G543" i="1"/>
  <c r="J542" i="1"/>
  <c r="I542" i="1"/>
  <c r="H542" i="1"/>
  <c r="G542" i="1"/>
  <c r="J541" i="1"/>
  <c r="I541" i="1"/>
  <c r="H541" i="1"/>
  <c r="G541" i="1"/>
  <c r="J540" i="1"/>
  <c r="I540" i="1"/>
  <c r="H540" i="1"/>
  <c r="G540" i="1"/>
  <c r="J539" i="1"/>
  <c r="I539" i="1"/>
  <c r="H539" i="1"/>
  <c r="G539" i="1"/>
  <c r="J538" i="1"/>
  <c r="I538" i="1"/>
  <c r="H538" i="1"/>
  <c r="G538" i="1"/>
  <c r="J537" i="1"/>
  <c r="I537" i="1"/>
  <c r="H537" i="1"/>
  <c r="G537" i="1"/>
  <c r="J536" i="1"/>
  <c r="I536" i="1"/>
  <c r="H536" i="1"/>
  <c r="G536" i="1"/>
  <c r="J535" i="1"/>
  <c r="I535" i="1"/>
  <c r="H535" i="1"/>
  <c r="G535" i="1"/>
  <c r="J534" i="1"/>
  <c r="I534" i="1"/>
  <c r="H534" i="1"/>
  <c r="G534" i="1"/>
  <c r="J533" i="1"/>
  <c r="I533" i="1"/>
  <c r="H533" i="1"/>
  <c r="G533" i="1"/>
  <c r="J532" i="1"/>
  <c r="I532" i="1"/>
  <c r="H532" i="1"/>
  <c r="G532" i="1"/>
  <c r="J531" i="1"/>
  <c r="I531" i="1"/>
  <c r="H531" i="1"/>
  <c r="G531" i="1"/>
  <c r="J530" i="1"/>
  <c r="I530" i="1"/>
  <c r="H530" i="1"/>
  <c r="G530" i="1"/>
  <c r="J529" i="1"/>
  <c r="I529" i="1"/>
  <c r="H529" i="1"/>
  <c r="G529" i="1"/>
  <c r="J528" i="1"/>
  <c r="I528" i="1"/>
  <c r="H528" i="1"/>
  <c r="G528" i="1"/>
  <c r="J527" i="1"/>
  <c r="I527" i="1"/>
  <c r="H527" i="1"/>
  <c r="G527" i="1"/>
  <c r="J526" i="1"/>
  <c r="I526" i="1"/>
  <c r="H526" i="1"/>
  <c r="G526" i="1"/>
  <c r="J525" i="1"/>
  <c r="I525" i="1"/>
  <c r="H525" i="1"/>
  <c r="G525" i="1"/>
  <c r="J524" i="1"/>
  <c r="I524" i="1"/>
  <c r="H524" i="1"/>
  <c r="G524" i="1"/>
  <c r="J523" i="1"/>
  <c r="I523" i="1"/>
  <c r="H523" i="1"/>
  <c r="G523" i="1"/>
  <c r="J522" i="1"/>
  <c r="I522" i="1"/>
  <c r="H522" i="1"/>
  <c r="G522" i="1"/>
  <c r="J521" i="1"/>
  <c r="I521" i="1"/>
  <c r="H521" i="1"/>
  <c r="G521" i="1"/>
  <c r="J520" i="1"/>
  <c r="I520" i="1"/>
  <c r="H520" i="1"/>
  <c r="G520" i="1"/>
  <c r="J519" i="1"/>
  <c r="I519" i="1"/>
  <c r="H519" i="1"/>
  <c r="G519" i="1"/>
  <c r="J518" i="1"/>
  <c r="I518" i="1"/>
  <c r="H518" i="1"/>
  <c r="G518" i="1"/>
  <c r="J517" i="1"/>
  <c r="I517" i="1"/>
  <c r="H517" i="1"/>
  <c r="G517" i="1"/>
  <c r="J516" i="1"/>
  <c r="I516" i="1"/>
  <c r="H516" i="1"/>
  <c r="G516" i="1"/>
  <c r="J515" i="1"/>
  <c r="I515" i="1"/>
  <c r="H515" i="1"/>
  <c r="G515" i="1"/>
  <c r="J514" i="1"/>
  <c r="I514" i="1"/>
  <c r="H514" i="1"/>
  <c r="G514" i="1"/>
  <c r="J513" i="1"/>
  <c r="I513" i="1"/>
  <c r="H513" i="1"/>
  <c r="G513" i="1"/>
  <c r="J512" i="1"/>
  <c r="I512" i="1"/>
  <c r="H512" i="1"/>
  <c r="G512" i="1"/>
  <c r="J511" i="1"/>
  <c r="I511" i="1"/>
  <c r="H511" i="1"/>
  <c r="G511" i="1"/>
  <c r="J510" i="1"/>
  <c r="I510" i="1"/>
  <c r="H510" i="1"/>
  <c r="G510" i="1"/>
  <c r="J509" i="1"/>
  <c r="I509" i="1"/>
  <c r="H509" i="1"/>
  <c r="G509" i="1"/>
  <c r="J508" i="1"/>
  <c r="I508" i="1"/>
  <c r="H508" i="1"/>
  <c r="G508" i="1"/>
  <c r="J507" i="1"/>
  <c r="I507" i="1"/>
  <c r="H507" i="1"/>
  <c r="G507" i="1"/>
  <c r="J506" i="1"/>
  <c r="I506" i="1"/>
  <c r="H506" i="1"/>
  <c r="G506" i="1"/>
  <c r="J505" i="1"/>
  <c r="I505" i="1"/>
  <c r="H505" i="1"/>
  <c r="G505" i="1"/>
  <c r="J504" i="1"/>
  <c r="I504" i="1"/>
  <c r="H504" i="1"/>
  <c r="G504" i="1"/>
  <c r="J503" i="1"/>
  <c r="I503" i="1"/>
  <c r="H503" i="1"/>
  <c r="G503" i="1"/>
  <c r="J502" i="1"/>
  <c r="I502" i="1"/>
  <c r="H502" i="1"/>
  <c r="G502" i="1"/>
  <c r="G501" i="1"/>
  <c r="H501" i="1"/>
  <c r="I501" i="1"/>
  <c r="J501" i="1"/>
  <c r="J500" i="1"/>
  <c r="I500" i="1"/>
  <c r="H500" i="1"/>
  <c r="G500" i="1"/>
  <c r="J487" i="1" l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21" i="1" l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I168" i="1"/>
  <c r="J168" i="1"/>
  <c r="H168" i="1"/>
  <c r="G168" i="1"/>
  <c r="J155" i="1" l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  <c r="I83" i="1"/>
  <c r="J83" i="1"/>
  <c r="I84" i="1"/>
  <c r="J84" i="1"/>
  <c r="I85" i="1"/>
  <c r="J85" i="1"/>
  <c r="I90" i="1"/>
  <c r="J90" i="1"/>
  <c r="I91" i="1"/>
  <c r="J91" i="1"/>
  <c r="I92" i="1"/>
  <c r="J92" i="1"/>
  <c r="I93" i="1"/>
  <c r="J93" i="1"/>
  <c r="I98" i="1"/>
  <c r="J98" i="1"/>
  <c r="I99" i="1"/>
  <c r="J99" i="1"/>
  <c r="I104" i="1"/>
  <c r="J104" i="1"/>
  <c r="I105" i="1"/>
  <c r="J105" i="1"/>
  <c r="I110" i="1"/>
  <c r="J110" i="1"/>
  <c r="I111" i="1"/>
  <c r="J111" i="1"/>
  <c r="J82" i="1"/>
  <c r="I82" i="1"/>
  <c r="G82" i="1"/>
  <c r="G83" i="1"/>
  <c r="H83" i="1"/>
  <c r="G84" i="1"/>
  <c r="H84" i="1"/>
  <c r="G85" i="1"/>
  <c r="H85" i="1"/>
  <c r="G90" i="1"/>
  <c r="H90" i="1"/>
  <c r="G91" i="1"/>
  <c r="H91" i="1"/>
  <c r="G92" i="1"/>
  <c r="H92" i="1"/>
  <c r="G93" i="1"/>
  <c r="H93" i="1"/>
  <c r="G98" i="1"/>
  <c r="H98" i="1"/>
  <c r="G99" i="1"/>
  <c r="H99" i="1"/>
  <c r="G104" i="1"/>
  <c r="H104" i="1"/>
  <c r="G105" i="1"/>
  <c r="H105" i="1"/>
  <c r="G110" i="1"/>
  <c r="H110" i="1"/>
  <c r="G111" i="1"/>
  <c r="H111" i="1"/>
  <c r="H82" i="1"/>
  <c r="A505" i="1"/>
  <c r="A504" i="1"/>
  <c r="A507" i="1"/>
  <c r="A506" i="1"/>
  <c r="A670" i="1"/>
  <c r="A674" i="1" s="1"/>
  <c r="A678" i="1" s="1"/>
  <c r="A673" i="1"/>
  <c r="A677" i="1" s="1"/>
  <c r="A681" i="1" s="1"/>
  <c r="A672" i="1"/>
  <c r="A676" i="1" s="1"/>
  <c r="A671" i="1"/>
  <c r="A675" i="1" s="1"/>
  <c r="A338" i="1"/>
  <c r="A339" i="1"/>
  <c r="A340" i="1"/>
  <c r="A341" i="1"/>
  <c r="A345" i="1" s="1"/>
  <c r="A349" i="1" s="1"/>
  <c r="A342" i="1" l="1"/>
  <c r="A680" i="1"/>
  <c r="A684" i="1" s="1"/>
  <c r="A508" i="1"/>
  <c r="A512" i="1" s="1"/>
  <c r="A682" i="1"/>
  <c r="A509" i="1"/>
  <c r="A510" i="1"/>
  <c r="A511" i="1"/>
  <c r="A515" i="1" s="1"/>
  <c r="A516" i="1" s="1"/>
  <c r="A520" i="1" s="1"/>
  <c r="A524" i="1" s="1"/>
  <c r="A344" i="1"/>
  <c r="A343" i="1"/>
  <c r="A679" i="1"/>
  <c r="A685" i="1" s="1"/>
  <c r="A683" i="1"/>
  <c r="A172" i="1"/>
  <c r="A175" i="1"/>
  <c r="A179" i="1" s="1"/>
  <c r="A173" i="1"/>
  <c r="A176" i="1" s="1"/>
  <c r="A183" i="1" s="1"/>
  <c r="A174" i="1"/>
  <c r="A177" i="1" s="1"/>
  <c r="A346" i="1" l="1"/>
  <c r="A513" i="1"/>
  <c r="A519" i="1" s="1"/>
  <c r="A523" i="1" s="1"/>
  <c r="A514" i="1"/>
  <c r="A180" i="1"/>
  <c r="A178" i="1"/>
  <c r="A688" i="1"/>
  <c r="A687" i="1"/>
  <c r="A692" i="1" s="1"/>
  <c r="A686" i="1"/>
  <c r="A689" i="1"/>
  <c r="A348" i="1"/>
  <c r="A350" i="1" s="1"/>
  <c r="A347" i="1"/>
  <c r="A352" i="1"/>
  <c r="A8" i="1"/>
  <c r="A9" i="1"/>
  <c r="A7" i="1"/>
  <c r="A11" i="1" s="1"/>
  <c r="A6" i="1"/>
  <c r="A691" i="1" l="1"/>
  <c r="A696" i="1" s="1"/>
  <c r="A517" i="1"/>
  <c r="A518" i="1"/>
  <c r="A12" i="1"/>
  <c r="A16" i="1" s="1"/>
  <c r="A10" i="1"/>
  <c r="A14" i="1" s="1"/>
  <c r="A18" i="1" s="1"/>
  <c r="A22" i="1" s="1"/>
  <c r="A26" i="1" s="1"/>
  <c r="A30" i="1" s="1"/>
  <c r="A13" i="1"/>
  <c r="A353" i="1"/>
  <c r="A354" i="1" s="1"/>
  <c r="A351" i="1"/>
  <c r="A356" i="1"/>
  <c r="A360" i="1" s="1"/>
  <c r="A364" i="1" s="1"/>
  <c r="A693" i="1"/>
  <c r="A695" i="1"/>
  <c r="A690" i="1"/>
  <c r="A181" i="1"/>
  <c r="A187" i="1" s="1"/>
  <c r="A182" i="1"/>
  <c r="A185" i="1"/>
  <c r="A189" i="1" s="1"/>
  <c r="A697" i="1" l="1"/>
  <c r="A701" i="1" s="1"/>
  <c r="A521" i="1"/>
  <c r="A527" i="1" s="1"/>
  <c r="A522" i="1"/>
  <c r="A526" i="1" s="1"/>
  <c r="A184" i="1"/>
  <c r="A191" i="1" s="1"/>
  <c r="A186" i="1"/>
  <c r="A190" i="1"/>
  <c r="A193" i="1" s="1"/>
  <c r="A700" i="1"/>
  <c r="A699" i="1"/>
  <c r="A703" i="1" s="1"/>
  <c r="A694" i="1"/>
  <c r="A698" i="1" s="1"/>
  <c r="A357" i="1"/>
  <c r="A358" i="1" s="1"/>
  <c r="A362" i="1" s="1"/>
  <c r="A355" i="1"/>
  <c r="A361" i="1" s="1"/>
  <c r="A359" i="1"/>
  <c r="A365" i="1" s="1"/>
  <c r="A368" i="1" s="1"/>
  <c r="A15" i="1"/>
  <c r="A17" i="1"/>
  <c r="A20" i="1" s="1"/>
  <c r="A24" i="1" s="1"/>
  <c r="A19" i="1"/>
  <c r="A705" i="1" l="1"/>
  <c r="A709" i="1" s="1"/>
  <c r="A188" i="1"/>
  <c r="A192" i="1" s="1"/>
  <c r="A197" i="1" s="1"/>
  <c r="A525" i="1"/>
  <c r="A531" i="1"/>
  <c r="A535" i="1" s="1"/>
  <c r="A530" i="1"/>
  <c r="A21" i="1"/>
  <c r="A363" i="1"/>
  <c r="A367" i="1" s="1"/>
  <c r="A372" i="1" s="1"/>
  <c r="A369" i="1"/>
  <c r="A373" i="1" s="1"/>
  <c r="A377" i="1" s="1"/>
  <c r="A366" i="1"/>
  <c r="A704" i="1"/>
  <c r="A707" i="1" s="1"/>
  <c r="A702" i="1"/>
  <c r="A706" i="1" s="1"/>
  <c r="A711" i="1" s="1"/>
  <c r="A708" i="1"/>
  <c r="A712" i="1" s="1"/>
  <c r="A710" i="1"/>
  <c r="A715" i="1" s="1"/>
  <c r="A194" i="1"/>
  <c r="A198" i="1" s="1"/>
  <c r="A195" i="1"/>
  <c r="A202" i="1" l="1"/>
  <c r="A713" i="1"/>
  <c r="A717" i="1"/>
  <c r="A528" i="1"/>
  <c r="A532" i="1" s="1"/>
  <c r="A536" i="1" s="1"/>
  <c r="A540" i="1" s="1"/>
  <c r="A529" i="1"/>
  <c r="A533" i="1" s="1"/>
  <c r="A539" i="1"/>
  <c r="A543" i="1" s="1"/>
  <c r="A534" i="1"/>
  <c r="A196" i="1"/>
  <c r="A199" i="1"/>
  <c r="A200" i="1" s="1"/>
  <c r="A206" i="1" s="1"/>
  <c r="A201" i="1"/>
  <c r="A719" i="1"/>
  <c r="A716" i="1"/>
  <c r="A714" i="1"/>
  <c r="A721" i="1" s="1"/>
  <c r="A371" i="1"/>
  <c r="A376" i="1" s="1"/>
  <c r="A370" i="1"/>
  <c r="A374" i="1" s="1"/>
  <c r="A23" i="1"/>
  <c r="A25" i="1"/>
  <c r="A29" i="1" s="1"/>
  <c r="A380" i="1" l="1"/>
  <c r="A375" i="1"/>
  <c r="A544" i="1"/>
  <c r="A548" i="1" s="1"/>
  <c r="A552" i="1" s="1"/>
  <c r="A537" i="1"/>
  <c r="A538" i="1"/>
  <c r="A541" i="1" s="1"/>
  <c r="A547" i="1" s="1"/>
  <c r="A551" i="1" s="1"/>
  <c r="A28" i="1"/>
  <c r="A27" i="1"/>
  <c r="A33" i="1" s="1"/>
  <c r="A37" i="1" s="1"/>
  <c r="A378" i="1"/>
  <c r="A718" i="1"/>
  <c r="A720" i="1"/>
  <c r="A723" i="1" s="1"/>
  <c r="A204" i="1"/>
  <c r="A205" i="1"/>
  <c r="A210" i="1" s="1"/>
  <c r="A209" i="1"/>
  <c r="A203" i="1"/>
  <c r="A207" i="1" s="1"/>
  <c r="A381" i="1" l="1"/>
  <c r="A385" i="1" s="1"/>
  <c r="A389" i="1" s="1"/>
  <c r="A379" i="1"/>
  <c r="A383" i="1"/>
  <c r="A208" i="1"/>
  <c r="A213" i="1" s="1"/>
  <c r="A217" i="1" s="1"/>
  <c r="A724" i="1"/>
  <c r="A727" i="1" s="1"/>
  <c r="A731" i="1" s="1"/>
  <c r="A542" i="1"/>
  <c r="A211" i="1"/>
  <c r="A725" i="1"/>
  <c r="A729" i="1" s="1"/>
  <c r="A722" i="1"/>
  <c r="A726" i="1" s="1"/>
  <c r="A384" i="1"/>
  <c r="A388" i="1" s="1"/>
  <c r="A392" i="1" s="1"/>
  <c r="A382" i="1"/>
  <c r="A31" i="1"/>
  <c r="A32" i="1"/>
  <c r="A34" i="1" s="1"/>
  <c r="A212" i="1" l="1"/>
  <c r="A728" i="1"/>
  <c r="A732" i="1" s="1"/>
  <c r="A736" i="1" s="1"/>
  <c r="A740" i="1" s="1"/>
  <c r="A545" i="1"/>
  <c r="A546" i="1"/>
  <c r="A36" i="1"/>
  <c r="A35" i="1"/>
  <c r="A387" i="1"/>
  <c r="A386" i="1"/>
  <c r="A390" i="1" s="1"/>
  <c r="A394" i="1"/>
  <c r="A735" i="1"/>
  <c r="A730" i="1"/>
  <c r="A734" i="1" s="1"/>
  <c r="A733" i="1"/>
  <c r="A737" i="1" s="1"/>
  <c r="A214" i="1"/>
  <c r="A215" i="1"/>
  <c r="A218" i="1" s="1"/>
  <c r="A221" i="1" s="1"/>
  <c r="A216" i="1" l="1"/>
  <c r="A220" i="1" s="1"/>
  <c r="A225" i="1" s="1"/>
  <c r="A549" i="1"/>
  <c r="A553" i="1" s="1"/>
  <c r="A556" i="1" s="1"/>
  <c r="A560" i="1" s="1"/>
  <c r="A219" i="1"/>
  <c r="A223" i="1" s="1"/>
  <c r="A739" i="1"/>
  <c r="A744" i="1"/>
  <c r="A738" i="1"/>
  <c r="A555" i="1"/>
  <c r="A550" i="1"/>
  <c r="A554" i="1" s="1"/>
  <c r="A222" i="1"/>
  <c r="A226" i="1" s="1"/>
  <c r="A741" i="1"/>
  <c r="A393" i="1"/>
  <c r="A391" i="1"/>
  <c r="A395" i="1" s="1"/>
  <c r="A38" i="1"/>
  <c r="A42" i="1" s="1"/>
  <c r="A46" i="1" s="1"/>
  <c r="A50" i="1" s="1"/>
  <c r="A54" i="1" s="1"/>
  <c r="A58" i="1" s="1"/>
  <c r="A39" i="1"/>
  <c r="A41" i="1"/>
  <c r="A40" i="1"/>
  <c r="A44" i="1" s="1"/>
  <c r="A229" i="1" l="1"/>
  <c r="A224" i="1"/>
  <c r="A227" i="1"/>
  <c r="A743" i="1"/>
  <c r="A748" i="1"/>
  <c r="A43" i="1"/>
  <c r="A47" i="1" s="1"/>
  <c r="A559" i="1"/>
  <c r="A558" i="1"/>
  <c r="A557" i="1"/>
  <c r="A45" i="1"/>
  <c r="A399" i="1"/>
  <c r="A396" i="1"/>
  <c r="A397" i="1"/>
  <c r="A401" i="1" s="1"/>
  <c r="A405" i="1" s="1"/>
  <c r="A742" i="1"/>
  <c r="A745" i="1"/>
  <c r="A747" i="1" s="1"/>
  <c r="A231" i="1"/>
  <c r="A235" i="1" s="1"/>
  <c r="A230" i="1"/>
  <c r="A228" i="1" l="1"/>
  <c r="A232" i="1" s="1"/>
  <c r="A236" i="1" s="1"/>
  <c r="A563" i="1"/>
  <c r="A564" i="1" s="1"/>
  <c r="A568" i="1" s="1"/>
  <c r="A561" i="1"/>
  <c r="A562" i="1"/>
  <c r="A233" i="1"/>
  <c r="A234" i="1"/>
  <c r="A237" i="1" s="1"/>
  <c r="A239" i="1"/>
  <c r="A752" i="1"/>
  <c r="A751" i="1"/>
  <c r="A749" i="1"/>
  <c r="A746" i="1"/>
  <c r="A398" i="1"/>
  <c r="A403" i="1" s="1"/>
  <c r="A400" i="1"/>
  <c r="A402" i="1" s="1"/>
  <c r="A48" i="1"/>
  <c r="A52" i="1" s="1"/>
  <c r="A49" i="1"/>
  <c r="A241" i="1" l="1"/>
  <c r="A245" i="1" s="1"/>
  <c r="A753" i="1"/>
  <c r="A567" i="1"/>
  <c r="A571" i="1" s="1"/>
  <c r="A572" i="1" s="1"/>
  <c r="A576" i="1" s="1"/>
  <c r="A584" i="1" s="1"/>
  <c r="A404" i="1"/>
  <c r="A406" i="1" s="1"/>
  <c r="A565" i="1"/>
  <c r="A566" i="1"/>
  <c r="A761" i="1"/>
  <c r="A51" i="1"/>
  <c r="A56" i="1" s="1"/>
  <c r="A53" i="1"/>
  <c r="A57" i="1" s="1"/>
  <c r="A60" i="1" s="1"/>
  <c r="A62" i="1" s="1"/>
  <c r="A55" i="1"/>
  <c r="A409" i="1"/>
  <c r="A407" i="1"/>
  <c r="A413" i="1" s="1"/>
  <c r="A750" i="1"/>
  <c r="A759" i="1" s="1"/>
  <c r="A760" i="1"/>
  <c r="A243" i="1"/>
  <c r="A238" i="1"/>
  <c r="A569" i="1" l="1"/>
  <c r="A61" i="1"/>
  <c r="A65" i="1" s="1"/>
  <c r="A575" i="1"/>
  <c r="A579" i="1" s="1"/>
  <c r="A408" i="1"/>
  <c r="A410" i="1"/>
  <c r="A570" i="1"/>
  <c r="A240" i="1"/>
  <c r="A247" i="1" s="1"/>
  <c r="A242" i="1"/>
  <c r="A244" i="1" s="1"/>
  <c r="A246" i="1"/>
  <c r="A253" i="1" s="1"/>
  <c r="A769" i="1"/>
  <c r="A758" i="1" s="1"/>
  <c r="A411" i="1"/>
  <c r="A412" i="1"/>
  <c r="A59" i="1"/>
  <c r="A767" i="1" l="1"/>
  <c r="A773" i="1" s="1"/>
  <c r="A766" i="1"/>
  <c r="A573" i="1"/>
  <c r="A574" i="1"/>
  <c r="A419" i="1"/>
  <c r="A64" i="1"/>
  <c r="A63" i="1"/>
  <c r="A420" i="1"/>
  <c r="A418" i="1"/>
  <c r="A775" i="1"/>
  <c r="A781" i="1" s="1"/>
  <c r="A254" i="1"/>
  <c r="A262" i="1" s="1"/>
  <c r="A252" i="1"/>
  <c r="A261" i="1" s="1"/>
  <c r="A255" i="1"/>
  <c r="A577" i="1" l="1"/>
  <c r="A268" i="1"/>
  <c r="A587" i="1"/>
  <c r="A585" i="1"/>
  <c r="A592" i="1" s="1"/>
  <c r="A578" i="1"/>
  <c r="A586" i="1" s="1"/>
  <c r="A260" i="1"/>
  <c r="A263" i="1"/>
  <c r="A266" i="1" s="1"/>
  <c r="A274" i="1" s="1"/>
  <c r="A267" i="1"/>
  <c r="A427" i="1"/>
  <c r="A428" i="1"/>
  <c r="A421" i="1" s="1"/>
  <c r="A429" i="1" s="1"/>
  <c r="A272" i="1"/>
  <c r="A786" i="1"/>
  <c r="A779" i="1"/>
  <c r="A433" i="1"/>
  <c r="A426" i="1"/>
  <c r="A435" i="1"/>
  <c r="A66" i="1"/>
  <c r="A70" i="1" s="1"/>
  <c r="A74" i="1" s="1"/>
  <c r="A78" i="1" s="1"/>
  <c r="A67" i="1"/>
  <c r="A69" i="1"/>
  <c r="A71" i="1" s="1"/>
  <c r="A68" i="1"/>
  <c r="A72" i="1" s="1"/>
  <c r="A75" i="1" l="1"/>
  <c r="A432" i="1"/>
  <c r="A595" i="1"/>
  <c r="A594" i="1"/>
  <c r="A598" i="1" s="1"/>
  <c r="A593" i="1"/>
  <c r="A278" i="1"/>
  <c r="A280" i="1"/>
  <c r="A282" i="1" s="1"/>
  <c r="A269" i="1"/>
  <c r="A73" i="1"/>
  <c r="A434" i="1"/>
  <c r="A439" i="1"/>
  <c r="A783" i="1"/>
  <c r="A791" i="1" s="1"/>
  <c r="A275" i="1" l="1"/>
  <c r="A273" i="1"/>
  <c r="A438" i="1"/>
  <c r="A601" i="1"/>
  <c r="A599" i="1"/>
  <c r="A607" i="1" s="1"/>
  <c r="A613" i="1" s="1"/>
  <c r="A600" i="1"/>
  <c r="A76" i="1"/>
  <c r="A80" i="1" s="1"/>
  <c r="A77" i="1"/>
  <c r="A604" i="1" l="1"/>
  <c r="A281" i="1"/>
  <c r="A279" i="1"/>
  <c r="A283" i="1" s="1"/>
  <c r="A287" i="1" s="1"/>
  <c r="A291" i="1" s="1"/>
  <c r="A295" i="1" s="1"/>
  <c r="A605" i="1"/>
  <c r="A606" i="1"/>
  <c r="A611" i="1" s="1"/>
  <c r="A617" i="1" s="1"/>
  <c r="A621" i="1" s="1"/>
  <c r="A79" i="1"/>
  <c r="A87" i="1" s="1"/>
  <c r="A81" i="1"/>
  <c r="A299" i="1"/>
  <c r="A284" i="1" l="1"/>
  <c r="A285" i="1"/>
  <c r="A289" i="1" s="1"/>
  <c r="A293" i="1" s="1"/>
  <c r="A610" i="1"/>
  <c r="A614" i="1" s="1"/>
  <c r="A618" i="1" s="1"/>
  <c r="A622" i="1" s="1"/>
  <c r="A612" i="1"/>
  <c r="A303" i="1"/>
  <c r="A441" i="1"/>
  <c r="A440" i="1"/>
  <c r="A446" i="1" s="1"/>
  <c r="A89" i="1"/>
  <c r="A88" i="1" s="1"/>
  <c r="A86" i="1"/>
  <c r="A444" i="1" l="1"/>
  <c r="A445" i="1"/>
  <c r="A449" i="1" s="1"/>
  <c r="A297" i="1"/>
  <c r="A301" i="1" s="1"/>
  <c r="A305" i="1" s="1"/>
  <c r="A286" i="1"/>
  <c r="A290" i="1" s="1"/>
  <c r="A294" i="1" s="1"/>
  <c r="A298" i="1" s="1"/>
  <c r="A288" i="1"/>
  <c r="A292" i="1" s="1"/>
  <c r="A296" i="1" s="1"/>
  <c r="A300" i="1" s="1"/>
  <c r="A615" i="1"/>
  <c r="A616" i="1"/>
  <c r="A448" i="1"/>
  <c r="A453" i="1"/>
  <c r="A447" i="1"/>
  <c r="A94" i="1"/>
  <c r="A95" i="1" s="1"/>
  <c r="A96" i="1"/>
  <c r="A97" i="1"/>
  <c r="A307" i="1"/>
  <c r="A309" i="1"/>
  <c r="A100" i="1" l="1"/>
  <c r="A304" i="1"/>
  <c r="A308" i="1" s="1"/>
  <c r="A302" i="1"/>
  <c r="A306" i="1" s="1"/>
  <c r="A312" i="1"/>
  <c r="A619" i="1"/>
  <c r="A623" i="1" s="1"/>
  <c r="A626" i="1" s="1"/>
  <c r="A630" i="1" s="1"/>
  <c r="A311" i="1"/>
  <c r="A315" i="1" s="1"/>
  <c r="A103" i="1"/>
  <c r="A109" i="1" s="1"/>
  <c r="A101" i="1" s="1"/>
  <c r="A450" i="1"/>
  <c r="A452" i="1" s="1"/>
  <c r="A456" i="1" s="1"/>
  <c r="A451" i="1"/>
  <c r="A455" i="1" s="1"/>
  <c r="A625" i="1"/>
  <c r="A620" i="1"/>
  <c r="A624" i="1" s="1"/>
  <c r="A115" i="1"/>
  <c r="A102" i="1"/>
  <c r="A107" i="1" s="1"/>
  <c r="A108" i="1" s="1"/>
  <c r="A114" i="1" s="1"/>
  <c r="A119" i="1" s="1"/>
  <c r="A459" i="1"/>
  <c r="A313" i="1"/>
  <c r="A316" i="1" s="1"/>
  <c r="A319" i="1" s="1"/>
  <c r="A310" i="1"/>
  <c r="A454" i="1"/>
  <c r="A457" i="1" s="1"/>
  <c r="A460" i="1"/>
  <c r="A464" i="1" s="1"/>
  <c r="A468" i="1" s="1"/>
  <c r="A123" i="1"/>
  <c r="A113" i="1"/>
  <c r="A118" i="1" s="1"/>
  <c r="A122" i="1" s="1"/>
  <c r="A106" i="1"/>
  <c r="A629" i="1" l="1"/>
  <c r="A628" i="1"/>
  <c r="A627" i="1"/>
  <c r="A117" i="1"/>
  <c r="A112" i="1"/>
  <c r="A116" i="1" s="1"/>
  <c r="A120" i="1" s="1"/>
  <c r="A124" i="1" s="1"/>
  <c r="A128" i="1" s="1"/>
  <c r="A121" i="1"/>
  <c r="A463" i="1"/>
  <c r="A458" i="1"/>
  <c r="A317" i="1"/>
  <c r="A314" i="1"/>
  <c r="A320" i="1" s="1"/>
  <c r="A323" i="1" s="1"/>
  <c r="A327" i="1" s="1"/>
  <c r="A331" i="1" s="1"/>
  <c r="A633" i="1" l="1"/>
  <c r="A634" i="1" s="1"/>
  <c r="A638" i="1" s="1"/>
  <c r="A631" i="1"/>
  <c r="A632" i="1"/>
  <c r="A461" i="1"/>
  <c r="A462" i="1"/>
  <c r="A318" i="1"/>
  <c r="A322" i="1" s="1"/>
  <c r="A326" i="1" s="1"/>
  <c r="A330" i="1" s="1"/>
  <c r="A321" i="1"/>
  <c r="A466" i="1"/>
  <c r="A465" i="1"/>
  <c r="A467" i="1"/>
  <c r="A471" i="1" s="1"/>
  <c r="A475" i="1" s="1"/>
  <c r="A126" i="1"/>
  <c r="A130" i="1" s="1"/>
  <c r="A125" i="1"/>
  <c r="A637" i="1" l="1"/>
  <c r="A641" i="1" s="1"/>
  <c r="A642" i="1" s="1"/>
  <c r="A646" i="1" s="1"/>
  <c r="A650" i="1" s="1"/>
  <c r="A635" i="1"/>
  <c r="A636" i="1"/>
  <c r="A639" i="1" s="1"/>
  <c r="A129" i="1"/>
  <c r="A127" i="1"/>
  <c r="A470" i="1"/>
  <c r="A472" i="1"/>
  <c r="A324" i="1"/>
  <c r="A328" i="1" s="1"/>
  <c r="A332" i="1" s="1"/>
  <c r="A325" i="1"/>
  <c r="A329" i="1" s="1"/>
  <c r="A333" i="1" s="1"/>
  <c r="A645" i="1" l="1"/>
  <c r="A649" i="1" s="1"/>
  <c r="A640" i="1"/>
  <c r="A476" i="1"/>
  <c r="A480" i="1" s="1"/>
  <c r="A132" i="1"/>
  <c r="A131" i="1"/>
  <c r="A479" i="1"/>
  <c r="A484" i="1" s="1"/>
  <c r="A474" i="1"/>
  <c r="A135" i="1"/>
  <c r="A133" i="1"/>
  <c r="A643" i="1" l="1"/>
  <c r="A644" i="1"/>
  <c r="A647" i="1" s="1"/>
  <c r="A483" i="1"/>
  <c r="A488" i="1" s="1"/>
  <c r="A478" i="1"/>
  <c r="A139" i="1"/>
  <c r="A136" i="1"/>
  <c r="A140" i="1" s="1"/>
  <c r="A144" i="1" s="1"/>
  <c r="A148" i="1" s="1"/>
  <c r="A152" i="1" s="1"/>
  <c r="A143" i="1"/>
  <c r="A134" i="1"/>
  <c r="A482" i="1"/>
  <c r="A653" i="1" l="1"/>
  <c r="A651" i="1"/>
  <c r="A648" i="1"/>
  <c r="A652" i="1" s="1"/>
  <c r="A654" i="1" s="1"/>
  <c r="A658" i="1" s="1"/>
  <c r="A662" i="1" s="1"/>
  <c r="A137" i="1"/>
  <c r="A138" i="1"/>
  <c r="A142" i="1" s="1"/>
  <c r="A141" i="1"/>
  <c r="A486" i="1"/>
  <c r="A656" i="1" l="1"/>
  <c r="A660" i="1" s="1"/>
  <c r="A664" i="1" s="1"/>
  <c r="A655" i="1"/>
  <c r="A659" i="1" s="1"/>
  <c r="A663" i="1" s="1"/>
  <c r="A657" i="1"/>
  <c r="A661" i="1" s="1"/>
  <c r="A665" i="1" s="1"/>
  <c r="A146" i="1"/>
  <c r="A147" i="1"/>
  <c r="A145" i="1" s="1"/>
  <c r="A151" i="1"/>
  <c r="A149" i="1" l="1"/>
  <c r="A150" i="1"/>
  <c r="A155" i="1" s="1"/>
  <c r="A159" i="1" s="1"/>
  <c r="A153" i="1"/>
  <c r="A154" i="1" l="1"/>
  <c r="A158" i="1" s="1"/>
  <c r="A162" i="1" s="1"/>
  <c r="A163" i="1" s="1"/>
  <c r="A156" i="1"/>
  <c r="A166" i="1" s="1"/>
  <c r="A167" i="1" s="1"/>
  <c r="A157" i="1"/>
  <c r="A161" i="1" s="1"/>
  <c r="A165" i="1" s="1"/>
  <c r="A160" i="1"/>
  <c r="A164" i="1" s="1"/>
  <c r="A469" i="1"/>
  <c r="A473" i="1" s="1"/>
  <c r="A477" i="1" s="1"/>
  <c r="A481" i="1" s="1"/>
  <c r="A485" i="1" s="1"/>
  <c r="A489" i="1" s="1"/>
  <c r="A490" i="1"/>
  <c r="A494" i="1" s="1"/>
  <c r="A498" i="1" s="1"/>
  <c r="A487" i="1"/>
  <c r="A491" i="1"/>
  <c r="A495" i="1" s="1"/>
  <c r="A499" i="1" s="1"/>
  <c r="A492" i="1" l="1"/>
  <c r="A496" i="1" s="1"/>
  <c r="A493" i="1"/>
  <c r="A497" i="1" s="1"/>
  <c r="A768" i="1"/>
  <c r="A772" i="1" s="1"/>
  <c r="A774" i="1"/>
  <c r="A778" i="1" s="1"/>
  <c r="A780" i="1"/>
  <c r="A785" i="1" l="1"/>
  <c r="A784" i="1"/>
  <c r="A788" i="1" s="1"/>
  <c r="A795" i="1" s="1"/>
  <c r="A799" i="1" s="1"/>
  <c r="A803" i="1" s="1"/>
  <c r="A807" i="1" s="1"/>
  <c r="A811" i="1" l="1"/>
  <c r="A815" i="1" s="1"/>
  <c r="A790" i="1"/>
  <c r="A794" i="1" s="1"/>
  <c r="A798" i="1" s="1"/>
  <c r="A802" i="1" s="1"/>
  <c r="A806" i="1" s="1"/>
  <c r="A810" i="1" s="1"/>
  <c r="A814" i="1" s="1"/>
  <c r="A818" i="1" s="1"/>
  <c r="A822" i="1" s="1"/>
  <c r="A826" i="1" s="1"/>
  <c r="A830" i="1" s="1"/>
  <c r="A789" i="1"/>
  <c r="A792" i="1" l="1"/>
  <c r="A793" i="1"/>
  <c r="A797" i="1" s="1"/>
  <c r="A819" i="1"/>
  <c r="A823" i="1" s="1"/>
  <c r="A827" i="1" s="1"/>
  <c r="A831" i="1" s="1"/>
  <c r="A796" i="1" l="1"/>
  <c r="A800" i="1" s="1"/>
  <c r="A804" i="1" s="1"/>
  <c r="A808" i="1" s="1"/>
  <c r="A812" i="1" s="1"/>
  <c r="A816" i="1" s="1"/>
  <c r="A820" i="1" s="1"/>
  <c r="A824" i="1" s="1"/>
  <c r="A828" i="1" s="1"/>
  <c r="A801" i="1"/>
  <c r="A805" i="1" s="1"/>
  <c r="A809" i="1" s="1"/>
  <c r="A813" i="1" s="1"/>
  <c r="A817" i="1" s="1"/>
  <c r="A821" i="1" s="1"/>
  <c r="A825" i="1" s="1"/>
  <c r="A829" i="1" s="1"/>
</calcChain>
</file>

<file path=xl/sharedStrings.xml><?xml version="1.0" encoding="utf-8"?>
<sst xmlns="http://schemas.openxmlformats.org/spreadsheetml/2006/main" count="4124" uniqueCount="81">
  <si>
    <t>gameweek</t>
  </si>
  <si>
    <t>season</t>
  </si>
  <si>
    <t>h_team</t>
  </si>
  <si>
    <t>a_team</t>
  </si>
  <si>
    <t>home_team_id</t>
  </si>
  <si>
    <t>away_team_id</t>
  </si>
  <si>
    <t>MD Twente Twente 1</t>
  </si>
  <si>
    <t>HTAFC</t>
  </si>
  <si>
    <t>Mitchell's Magicians</t>
  </si>
  <si>
    <t>Boly-Wood (and co)</t>
  </si>
  <si>
    <t>Cramond Centurions</t>
  </si>
  <si>
    <t>2020/21</t>
  </si>
  <si>
    <t>2021/22</t>
  </si>
  <si>
    <t>game_type</t>
  </si>
  <si>
    <t>League</t>
  </si>
  <si>
    <t>Mitchell's Macho Men</t>
  </si>
  <si>
    <t>Gordys Gophers</t>
  </si>
  <si>
    <t>Sweaty Raphael</t>
  </si>
  <si>
    <t>Sink the Bismarck!</t>
  </si>
  <si>
    <t>YESSIRICANBONUCCI</t>
  </si>
  <si>
    <t>Brexit house party</t>
  </si>
  <si>
    <t>2022/23</t>
  </si>
  <si>
    <t>Haaland Oates</t>
  </si>
  <si>
    <t>Htafc</t>
  </si>
  <si>
    <t>Mitchell &amp; the gang</t>
  </si>
  <si>
    <t>RU0 (K)entertained?!</t>
  </si>
  <si>
    <t>Hussain's Heroes</t>
  </si>
  <si>
    <t>Gophers</t>
  </si>
  <si>
    <t>Gilmerton Loyal RSC</t>
  </si>
  <si>
    <t>Andrew</t>
  </si>
  <si>
    <t>Gavin</t>
  </si>
  <si>
    <t>Gordon</t>
  </si>
  <si>
    <t>James</t>
  </si>
  <si>
    <t>Keith</t>
  </si>
  <si>
    <t>Simon</t>
  </si>
  <si>
    <t>Steven</t>
  </si>
  <si>
    <t>Walid</t>
  </si>
  <si>
    <t>Cup</t>
  </si>
  <si>
    <t>round</t>
  </si>
  <si>
    <t>Group Stage</t>
  </si>
  <si>
    <t>Quarter Final</t>
  </si>
  <si>
    <t>Champions Semi Final</t>
  </si>
  <si>
    <t>Photobowl Semi Final</t>
  </si>
  <si>
    <t>Champions Final</t>
  </si>
  <si>
    <t>Photobowl Final</t>
  </si>
  <si>
    <t>Photobowl 5/6 Playoff</t>
  </si>
  <si>
    <t>Champions 3/4 Playoff</t>
  </si>
  <si>
    <t>Semi Final</t>
  </si>
  <si>
    <t>Final</t>
  </si>
  <si>
    <t>2024/25</t>
  </si>
  <si>
    <t>Htfc</t>
  </si>
  <si>
    <t>The Kentertainers</t>
  </si>
  <si>
    <t>Classic Intercourse</t>
  </si>
  <si>
    <t>Mitchell's Munchers</t>
  </si>
  <si>
    <t>The Fighting Beavers</t>
  </si>
  <si>
    <t>Ye House</t>
  </si>
  <si>
    <t>Hibitual Failure</t>
  </si>
  <si>
    <t>2023/24</t>
  </si>
  <si>
    <t>Shart of Midlothian</t>
  </si>
  <si>
    <t>Mitchell's Meth Men</t>
  </si>
  <si>
    <t>The Champions</t>
  </si>
  <si>
    <t>Consultio/Consultius</t>
  </si>
  <si>
    <t>It's Haal Over</t>
  </si>
  <si>
    <t>-</t>
  </si>
  <si>
    <t>team</t>
  </si>
  <si>
    <t>name</t>
  </si>
  <si>
    <t>id</t>
  </si>
  <si>
    <t>Season 2020/21</t>
  </si>
  <si>
    <t>Season 2021/22</t>
  </si>
  <si>
    <t>Season 2022/23</t>
  </si>
  <si>
    <t>Season 2023/24</t>
  </si>
  <si>
    <t>Season 2024/25</t>
  </si>
  <si>
    <t>Andy</t>
  </si>
  <si>
    <t>Sammy, You Old Slag</t>
  </si>
  <si>
    <t>We, The Purple</t>
  </si>
  <si>
    <t>Upset Zombies</t>
  </si>
  <si>
    <t>h_manager</t>
  </si>
  <si>
    <t>a_manager</t>
  </si>
  <si>
    <t>W</t>
  </si>
  <si>
    <t>Doctor Nowt</t>
  </si>
  <si>
    <t>The Christ Punchers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</si>
</sst>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</font>
    <font>
      <sz val="10"/>
      <color theme="1" tint="0.249977111117893"/>
      <name val="Century Gothic"/>
      <family val="2"/>
    </font>
    <font>
      <sz val="10"/>
      <name val="Century Gothic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605-92AA-4E64-AEF7-FA585D964EBD}">
  <dimension ref="A1:M831"/>
  <sheetViews>
    <sheetView tabSelected="1" topLeftCell="A649" workbookViewId="0">
      <selection activeCell="B831" sqref="B831"/>
    </sheetView>
  </sheetViews>
  <sheetFormatPr defaultRowHeight="13.5" x14ac:dyDescent="0.25"/>
  <cols>
    <col min="1" max="1" width="11.5703125" bestFit="1" customWidth="1"/>
    <col min="2" max="2" width="7.85546875" bestFit="1" customWidth="1"/>
    <col min="3" max="3" width="11.5703125" bestFit="1" customWidth="1"/>
    <col min="4" max="4" width="29.28515625" bestFit="1" customWidth="1"/>
    <col min="5" max="6" width="25.7109375" bestFit="1" customWidth="1"/>
    <col min="7" max="8" width="25.7109375" customWidth="1"/>
    <col min="9" max="9" width="15.28515625" bestFit="1" customWidth="1"/>
    <col min="10" max="10" width="15" bestFit="1" customWidth="1"/>
    <col min="14" max="14" width="8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38</v>
      </c>
      <c r="E1" t="s">
        <v>2</v>
      </c>
      <c r="F1" t="s">
        <v>3</v>
      </c>
      <c r="G1" t="s">
        <v>76</v>
      </c>
      <c r="H1" t="s">
        <v>77</v>
      </c>
      <c r="I1" t="s">
        <v>4</v>
      </c>
      <c r="J1" t="s">
        <v>5</v>
      </c>
    </row>
    <row r="2" spans="1:10" x14ac:dyDescent="0.25">
      <c r="A2">
        <v>1</v>
      </c>
      <c r="B2" s="1" t="s">
        <v>11</v>
      </c>
      <c r="C2" s="1" t="s">
        <v>14</v>
      </c>
      <c r="D2" s="1" t="s">
        <v>39</v>
      </c>
      <c r="E2" t="s">
        <v>6</v>
      </c>
      <c r="F2" t="s">
        <v>10</v>
      </c>
      <c r="G2" t="str">
        <f>VLOOKUP(E2,Sheet1!$B$1:$D$41,2,FALSE)</f>
        <v>Gordon</v>
      </c>
      <c r="H2" t="str">
        <f>VLOOKUP(F2,Sheet1!$B$1:$D$41,2,FALSE)</f>
        <v>Andy</v>
      </c>
      <c r="I2">
        <f>VLOOKUP(E2,Sheet1!$B$1:$D$41,3,FALSE)</f>
        <v>2441126</v>
      </c>
      <c r="J2">
        <f>VLOOKUP(F2,Sheet1!$B$1:$D$41,3,FALSE)</f>
        <v>882240</v>
      </c>
    </row>
    <row r="3" spans="1:10" x14ac:dyDescent="0.25">
      <c r="A3">
        <v>1</v>
      </c>
      <c r="B3" s="1" t="s">
        <v>11</v>
      </c>
      <c r="C3" s="1" t="s">
        <v>14</v>
      </c>
      <c r="D3" s="1" t="s">
        <v>39</v>
      </c>
      <c r="E3" t="s">
        <v>7</v>
      </c>
      <c r="F3" t="s">
        <v>75</v>
      </c>
      <c r="G3" t="str">
        <f>VLOOKUP(E3,Sheet1!$B$1:$D$41,2,FALSE)</f>
        <v>Simon</v>
      </c>
      <c r="H3" t="str">
        <f>VLOOKUP(F3,Sheet1!$B$1:$D$41,2,FALSE)</f>
        <v>Keith</v>
      </c>
      <c r="I3">
        <f>VLOOKUP(E3,Sheet1!$B$1:$D$41,3,FALSE)</f>
        <v>2438184</v>
      </c>
      <c r="J3">
        <f>VLOOKUP(F3,Sheet1!$B$1:$D$41,3,FALSE)</f>
        <v>2445169</v>
      </c>
    </row>
    <row r="4" spans="1:10" x14ac:dyDescent="0.25">
      <c r="A4">
        <v>1</v>
      </c>
      <c r="B4" s="1" t="s">
        <v>11</v>
      </c>
      <c r="C4" s="1" t="s">
        <v>14</v>
      </c>
      <c r="D4" s="1" t="s">
        <v>39</v>
      </c>
      <c r="E4" t="s">
        <v>8</v>
      </c>
      <c r="F4" t="s">
        <v>74</v>
      </c>
      <c r="G4" t="str">
        <f>VLOOKUP(E4,Sheet1!$B$1:$D$41,2,FALSE)</f>
        <v>Gavin</v>
      </c>
      <c r="H4" t="str">
        <f>VLOOKUP(F4,Sheet1!$B$1:$D$41,2,FALSE)</f>
        <v>James</v>
      </c>
      <c r="I4">
        <f>VLOOKUP(E4,Sheet1!$B$1:$D$41,3,FALSE)</f>
        <v>2438353</v>
      </c>
      <c r="J4">
        <f>VLOOKUP(F4,Sheet1!$B$1:$D$41,3,FALSE)</f>
        <v>2439477</v>
      </c>
    </row>
    <row r="5" spans="1:10" x14ac:dyDescent="0.25">
      <c r="A5">
        <v>1</v>
      </c>
      <c r="B5" s="1" t="s">
        <v>11</v>
      </c>
      <c r="C5" s="1" t="s">
        <v>14</v>
      </c>
      <c r="D5" s="1" t="s">
        <v>39</v>
      </c>
      <c r="E5" t="s">
        <v>9</v>
      </c>
      <c r="F5" t="s">
        <v>73</v>
      </c>
      <c r="G5" t="str">
        <f>VLOOKUP(E5,Sheet1!$B$1:$D$41,2,FALSE)</f>
        <v>Walid</v>
      </c>
      <c r="H5" t="str">
        <f>VLOOKUP(F5,Sheet1!$B$1:$D$41,2,FALSE)</f>
        <v>Steven</v>
      </c>
      <c r="I5">
        <f>VLOOKUP(E5,Sheet1!$B$1:$D$41,3,FALSE)</f>
        <v>2752114</v>
      </c>
      <c r="J5">
        <f>VLOOKUP(F5,Sheet1!$B$1:$D$41,3,FALSE)</f>
        <v>2440073</v>
      </c>
    </row>
    <row r="6" spans="1:10" x14ac:dyDescent="0.25">
      <c r="A6">
        <f>A2+1</f>
        <v>2</v>
      </c>
      <c r="B6" s="1" t="s">
        <v>11</v>
      </c>
      <c r="C6" s="1" t="s">
        <v>14</v>
      </c>
      <c r="D6" s="1" t="s">
        <v>39</v>
      </c>
      <c r="E6" t="s">
        <v>10</v>
      </c>
      <c r="F6" t="s">
        <v>9</v>
      </c>
      <c r="G6" t="str">
        <f>VLOOKUP(E6,Sheet1!$B$1:$D$41,2,FALSE)</f>
        <v>Andy</v>
      </c>
      <c r="H6" t="str">
        <f>VLOOKUP(F6,Sheet1!$B$1:$D$41,2,FALSE)</f>
        <v>Walid</v>
      </c>
      <c r="I6">
        <f>VLOOKUP(E6,Sheet1!$B$1:$D$41,3,FALSE)</f>
        <v>882240</v>
      </c>
      <c r="J6">
        <f>VLOOKUP(F6,Sheet1!$B$1:$D$41,3,FALSE)</f>
        <v>2752114</v>
      </c>
    </row>
    <row r="7" spans="1:10" x14ac:dyDescent="0.25">
      <c r="A7">
        <f>A3+1</f>
        <v>2</v>
      </c>
      <c r="B7" s="1" t="s">
        <v>11</v>
      </c>
      <c r="C7" s="1" t="s">
        <v>14</v>
      </c>
      <c r="D7" s="1" t="s">
        <v>39</v>
      </c>
      <c r="E7" t="s">
        <v>73</v>
      </c>
      <c r="F7" t="s">
        <v>8</v>
      </c>
      <c r="G7" t="str">
        <f>VLOOKUP(E7,Sheet1!$B$1:$D$41,2,FALSE)</f>
        <v>Steven</v>
      </c>
      <c r="H7" t="str">
        <f>VLOOKUP(F7,Sheet1!$B$1:$D$41,2,FALSE)</f>
        <v>Gavin</v>
      </c>
      <c r="I7">
        <f>VLOOKUP(E7,Sheet1!$B$1:$D$41,3,FALSE)</f>
        <v>2440073</v>
      </c>
      <c r="J7">
        <f>VLOOKUP(F7,Sheet1!$B$1:$D$41,3,FALSE)</f>
        <v>2438353</v>
      </c>
    </row>
    <row r="8" spans="1:10" x14ac:dyDescent="0.25">
      <c r="A8">
        <f>A4+1</f>
        <v>2</v>
      </c>
      <c r="B8" s="1" t="s">
        <v>11</v>
      </c>
      <c r="C8" s="1" t="s">
        <v>14</v>
      </c>
      <c r="D8" s="1" t="s">
        <v>39</v>
      </c>
      <c r="E8" t="s">
        <v>74</v>
      </c>
      <c r="F8" t="s">
        <v>7</v>
      </c>
      <c r="G8" t="str">
        <f>VLOOKUP(E8,Sheet1!$B$1:$D$41,2,FALSE)</f>
        <v>James</v>
      </c>
      <c r="H8" t="str">
        <f>VLOOKUP(F8,Sheet1!$B$1:$D$41,2,FALSE)</f>
        <v>Simon</v>
      </c>
      <c r="I8">
        <f>VLOOKUP(E8,Sheet1!$B$1:$D$41,3,FALSE)</f>
        <v>2439477</v>
      </c>
      <c r="J8">
        <f>VLOOKUP(F8,Sheet1!$B$1:$D$41,3,FALSE)</f>
        <v>2438184</v>
      </c>
    </row>
    <row r="9" spans="1:10" x14ac:dyDescent="0.25">
      <c r="A9">
        <f>A5+1</f>
        <v>2</v>
      </c>
      <c r="B9" s="1" t="s">
        <v>11</v>
      </c>
      <c r="C9" s="1" t="s">
        <v>14</v>
      </c>
      <c r="D9" s="1" t="s">
        <v>39</v>
      </c>
      <c r="E9" t="s">
        <v>75</v>
      </c>
      <c r="F9" t="s">
        <v>6</v>
      </c>
      <c r="G9" t="str">
        <f>VLOOKUP(E9,Sheet1!$B$1:$D$41,2,FALSE)</f>
        <v>Keith</v>
      </c>
      <c r="H9" t="str">
        <f>VLOOKUP(F9,Sheet1!$B$1:$D$41,2,FALSE)</f>
        <v>Gordon</v>
      </c>
      <c r="I9">
        <f>VLOOKUP(E9,Sheet1!$B$1:$D$41,3,FALSE)</f>
        <v>2445169</v>
      </c>
      <c r="J9">
        <f>VLOOKUP(F9,Sheet1!$B$1:$D$41,3,FALSE)</f>
        <v>2441126</v>
      </c>
    </row>
    <row r="10" spans="1:10" x14ac:dyDescent="0.25">
      <c r="A10">
        <f>A6+1</f>
        <v>3</v>
      </c>
      <c r="B10" s="1" t="s">
        <v>11</v>
      </c>
      <c r="C10" s="1" t="s">
        <v>14</v>
      </c>
      <c r="D10" s="1" t="s">
        <v>39</v>
      </c>
      <c r="E10" t="s">
        <v>8</v>
      </c>
      <c r="F10" t="s">
        <v>6</v>
      </c>
      <c r="G10" t="str">
        <f>VLOOKUP(E10,Sheet1!$B$1:$D$41,2,FALSE)</f>
        <v>Gavin</v>
      </c>
      <c r="H10" t="str">
        <f>VLOOKUP(F10,Sheet1!$B$1:$D$41,2,FALSE)</f>
        <v>Gordon</v>
      </c>
      <c r="I10">
        <f>VLOOKUP(E10,Sheet1!$B$1:$D$41,3,FALSE)</f>
        <v>2438353</v>
      </c>
      <c r="J10">
        <f>VLOOKUP(F10,Sheet1!$B$1:$D$41,3,FALSE)</f>
        <v>2441126</v>
      </c>
    </row>
    <row r="11" spans="1:10" x14ac:dyDescent="0.25">
      <c r="A11">
        <f>A7+1</f>
        <v>3</v>
      </c>
      <c r="B11" s="1" t="s">
        <v>11</v>
      </c>
      <c r="C11" s="1" t="s">
        <v>14</v>
      </c>
      <c r="D11" s="1" t="s">
        <v>39</v>
      </c>
      <c r="E11" t="s">
        <v>73</v>
      </c>
      <c r="F11" t="s">
        <v>74</v>
      </c>
      <c r="G11" t="str">
        <f>VLOOKUP(E11,Sheet1!$B$1:$D$41,2,FALSE)</f>
        <v>Steven</v>
      </c>
      <c r="H11" t="str">
        <f>VLOOKUP(F11,Sheet1!$B$1:$D$41,2,FALSE)</f>
        <v>James</v>
      </c>
      <c r="I11">
        <f>VLOOKUP(E11,Sheet1!$B$1:$D$41,3,FALSE)</f>
        <v>2440073</v>
      </c>
      <c r="J11">
        <f>VLOOKUP(F11,Sheet1!$B$1:$D$41,3,FALSE)</f>
        <v>2439477</v>
      </c>
    </row>
    <row r="12" spans="1:10" x14ac:dyDescent="0.25">
      <c r="A12">
        <f>A8+1</f>
        <v>3</v>
      </c>
      <c r="B12" s="1" t="s">
        <v>11</v>
      </c>
      <c r="C12" s="1" t="s">
        <v>14</v>
      </c>
      <c r="D12" s="1" t="s">
        <v>39</v>
      </c>
      <c r="E12" t="s">
        <v>7</v>
      </c>
      <c r="F12" t="s">
        <v>10</v>
      </c>
      <c r="G12" t="str">
        <f>VLOOKUP(E12,Sheet1!$B$1:$D$41,2,FALSE)</f>
        <v>Simon</v>
      </c>
      <c r="H12" t="str">
        <f>VLOOKUP(F12,Sheet1!$B$1:$D$41,2,FALSE)</f>
        <v>Andy</v>
      </c>
      <c r="I12">
        <f>VLOOKUP(E12,Sheet1!$B$1:$D$41,3,FALSE)</f>
        <v>2438184</v>
      </c>
      <c r="J12">
        <f>VLOOKUP(F12,Sheet1!$B$1:$D$41,3,FALSE)</f>
        <v>882240</v>
      </c>
    </row>
    <row r="13" spans="1:10" x14ac:dyDescent="0.25">
      <c r="A13">
        <f>A9+1</f>
        <v>3</v>
      </c>
      <c r="B13" s="1" t="s">
        <v>11</v>
      </c>
      <c r="C13" s="1" t="s">
        <v>14</v>
      </c>
      <c r="D13" s="1" t="s">
        <v>39</v>
      </c>
      <c r="E13" t="s">
        <v>9</v>
      </c>
      <c r="F13" t="s">
        <v>75</v>
      </c>
      <c r="G13" t="str">
        <f>VLOOKUP(E13,Sheet1!$B$1:$D$41,2,FALSE)</f>
        <v>Walid</v>
      </c>
      <c r="H13" t="str">
        <f>VLOOKUP(F13,Sheet1!$B$1:$D$41,2,FALSE)</f>
        <v>Keith</v>
      </c>
      <c r="I13">
        <f>VLOOKUP(E13,Sheet1!$B$1:$D$41,3,FALSE)</f>
        <v>2752114</v>
      </c>
      <c r="J13">
        <f>VLOOKUP(F13,Sheet1!$B$1:$D$41,3,FALSE)</f>
        <v>2445169</v>
      </c>
    </row>
    <row r="14" spans="1:10" x14ac:dyDescent="0.25">
      <c r="A14">
        <f>A10+1</f>
        <v>4</v>
      </c>
      <c r="B14" s="1" t="s">
        <v>11</v>
      </c>
      <c r="C14" s="1" t="s">
        <v>14</v>
      </c>
      <c r="D14" s="1" t="s">
        <v>39</v>
      </c>
      <c r="E14" t="s">
        <v>75</v>
      </c>
      <c r="F14" t="s">
        <v>8</v>
      </c>
      <c r="G14" t="str">
        <f>VLOOKUP(E14,Sheet1!$B$1:$D$41,2,FALSE)</f>
        <v>Keith</v>
      </c>
      <c r="H14" t="str">
        <f>VLOOKUP(F14,Sheet1!$B$1:$D$41,2,FALSE)</f>
        <v>Gavin</v>
      </c>
      <c r="I14">
        <f>VLOOKUP(E14,Sheet1!$B$1:$D$41,3,FALSE)</f>
        <v>2445169</v>
      </c>
      <c r="J14">
        <f>VLOOKUP(F14,Sheet1!$B$1:$D$41,3,FALSE)</f>
        <v>2438353</v>
      </c>
    </row>
    <row r="15" spans="1:10" x14ac:dyDescent="0.25">
      <c r="A15">
        <f>A11+1</f>
        <v>4</v>
      </c>
      <c r="B15" s="1" t="s">
        <v>11</v>
      </c>
      <c r="C15" s="1" t="s">
        <v>14</v>
      </c>
      <c r="D15" s="1" t="s">
        <v>39</v>
      </c>
      <c r="E15" t="s">
        <v>10</v>
      </c>
      <c r="F15" t="s">
        <v>73</v>
      </c>
      <c r="G15" t="str">
        <f>VLOOKUP(E15,Sheet1!$B$1:$D$41,2,FALSE)</f>
        <v>Andy</v>
      </c>
      <c r="H15" t="str">
        <f>VLOOKUP(F15,Sheet1!$B$1:$D$41,2,FALSE)</f>
        <v>Steven</v>
      </c>
      <c r="I15">
        <f>VLOOKUP(E15,Sheet1!$B$1:$D$41,3,FALSE)</f>
        <v>882240</v>
      </c>
      <c r="J15">
        <f>VLOOKUP(F15,Sheet1!$B$1:$D$41,3,FALSE)</f>
        <v>2440073</v>
      </c>
    </row>
    <row r="16" spans="1:10" x14ac:dyDescent="0.25">
      <c r="A16">
        <f>A12+1</f>
        <v>4</v>
      </c>
      <c r="B16" s="1" t="s">
        <v>11</v>
      </c>
      <c r="C16" s="1" t="s">
        <v>14</v>
      </c>
      <c r="D16" s="1" t="s">
        <v>39</v>
      </c>
      <c r="E16" t="s">
        <v>6</v>
      </c>
      <c r="F16" t="s">
        <v>7</v>
      </c>
      <c r="G16" t="str">
        <f>VLOOKUP(E16,Sheet1!$B$1:$D$41,2,FALSE)</f>
        <v>Gordon</v>
      </c>
      <c r="H16" t="str">
        <f>VLOOKUP(F16,Sheet1!$B$1:$D$41,2,FALSE)</f>
        <v>Simon</v>
      </c>
      <c r="I16">
        <f>VLOOKUP(E16,Sheet1!$B$1:$D$41,3,FALSE)</f>
        <v>2441126</v>
      </c>
      <c r="J16">
        <f>VLOOKUP(F16,Sheet1!$B$1:$D$41,3,FALSE)</f>
        <v>2438184</v>
      </c>
    </row>
    <row r="17" spans="1:10" x14ac:dyDescent="0.25">
      <c r="A17">
        <f>A13+1</f>
        <v>4</v>
      </c>
      <c r="B17" s="1" t="s">
        <v>11</v>
      </c>
      <c r="C17" s="1" t="s">
        <v>14</v>
      </c>
      <c r="D17" s="1" t="s">
        <v>39</v>
      </c>
      <c r="E17" t="s">
        <v>9</v>
      </c>
      <c r="F17" t="s">
        <v>74</v>
      </c>
      <c r="G17" t="str">
        <f>VLOOKUP(E17,Sheet1!$B$1:$D$41,2,FALSE)</f>
        <v>Walid</v>
      </c>
      <c r="H17" t="str">
        <f>VLOOKUP(F17,Sheet1!$B$1:$D$41,2,FALSE)</f>
        <v>James</v>
      </c>
      <c r="I17">
        <f>VLOOKUP(E17,Sheet1!$B$1:$D$41,3,FALSE)</f>
        <v>2752114</v>
      </c>
      <c r="J17">
        <f>VLOOKUP(F17,Sheet1!$B$1:$D$41,3,FALSE)</f>
        <v>2439477</v>
      </c>
    </row>
    <row r="18" spans="1:10" x14ac:dyDescent="0.25">
      <c r="A18">
        <f>A14+1</f>
        <v>5</v>
      </c>
      <c r="B18" s="1" t="s">
        <v>11</v>
      </c>
      <c r="C18" s="1" t="s">
        <v>14</v>
      </c>
      <c r="D18" s="1" t="s">
        <v>39</v>
      </c>
      <c r="E18" t="s">
        <v>8</v>
      </c>
      <c r="F18" t="s">
        <v>10</v>
      </c>
      <c r="G18" t="str">
        <f>VLOOKUP(E18,Sheet1!$B$1:$D$41,2,FALSE)</f>
        <v>Gavin</v>
      </c>
      <c r="H18" t="str">
        <f>VLOOKUP(F18,Sheet1!$B$1:$D$41,2,FALSE)</f>
        <v>Andy</v>
      </c>
      <c r="I18">
        <f>VLOOKUP(E18,Sheet1!$B$1:$D$41,3,FALSE)</f>
        <v>2438353</v>
      </c>
      <c r="J18">
        <f>VLOOKUP(F18,Sheet1!$B$1:$D$41,3,FALSE)</f>
        <v>882240</v>
      </c>
    </row>
    <row r="19" spans="1:10" x14ac:dyDescent="0.25">
      <c r="A19">
        <f>A15+1</f>
        <v>5</v>
      </c>
      <c r="B19" s="1" t="s">
        <v>11</v>
      </c>
      <c r="C19" s="1" t="s">
        <v>14</v>
      </c>
      <c r="D19" s="1" t="s">
        <v>39</v>
      </c>
      <c r="E19" t="s">
        <v>74</v>
      </c>
      <c r="F19" t="s">
        <v>75</v>
      </c>
      <c r="G19" t="str">
        <f>VLOOKUP(E19,Sheet1!$B$1:$D$41,2,FALSE)</f>
        <v>James</v>
      </c>
      <c r="H19" t="str">
        <f>VLOOKUP(F19,Sheet1!$B$1:$D$41,2,FALSE)</f>
        <v>Keith</v>
      </c>
      <c r="I19">
        <f>VLOOKUP(E19,Sheet1!$B$1:$D$41,3,FALSE)</f>
        <v>2439477</v>
      </c>
      <c r="J19">
        <f>VLOOKUP(F19,Sheet1!$B$1:$D$41,3,FALSE)</f>
        <v>2445169</v>
      </c>
    </row>
    <row r="20" spans="1:10" x14ac:dyDescent="0.25">
      <c r="A20">
        <f>A16+1</f>
        <v>5</v>
      </c>
      <c r="B20" s="1" t="s">
        <v>11</v>
      </c>
      <c r="C20" s="1" t="s">
        <v>14</v>
      </c>
      <c r="D20" s="1" t="s">
        <v>39</v>
      </c>
      <c r="E20" t="s">
        <v>73</v>
      </c>
      <c r="F20" t="s">
        <v>6</v>
      </c>
      <c r="G20" t="str">
        <f>VLOOKUP(E20,Sheet1!$B$1:$D$41,2,FALSE)</f>
        <v>Steven</v>
      </c>
      <c r="H20" t="str">
        <f>VLOOKUP(F20,Sheet1!$B$1:$D$41,2,FALSE)</f>
        <v>Gordon</v>
      </c>
      <c r="I20">
        <f>VLOOKUP(E20,Sheet1!$B$1:$D$41,3,FALSE)</f>
        <v>2440073</v>
      </c>
      <c r="J20">
        <f>VLOOKUP(F20,Sheet1!$B$1:$D$41,3,FALSE)</f>
        <v>2441126</v>
      </c>
    </row>
    <row r="21" spans="1:10" x14ac:dyDescent="0.25">
      <c r="A21">
        <f>A17+1</f>
        <v>5</v>
      </c>
      <c r="B21" s="1" t="s">
        <v>11</v>
      </c>
      <c r="C21" s="1" t="s">
        <v>14</v>
      </c>
      <c r="D21" s="1" t="s">
        <v>39</v>
      </c>
      <c r="E21" t="s">
        <v>9</v>
      </c>
      <c r="F21" t="s">
        <v>7</v>
      </c>
      <c r="G21" t="str">
        <f>VLOOKUP(E21,Sheet1!$B$1:$D$41,2,FALSE)</f>
        <v>Walid</v>
      </c>
      <c r="H21" t="str">
        <f>VLOOKUP(F21,Sheet1!$B$1:$D$41,2,FALSE)</f>
        <v>Simon</v>
      </c>
      <c r="I21">
        <f>VLOOKUP(E21,Sheet1!$B$1:$D$41,3,FALSE)</f>
        <v>2752114</v>
      </c>
      <c r="J21">
        <f>VLOOKUP(F21,Sheet1!$B$1:$D$41,3,FALSE)</f>
        <v>2438184</v>
      </c>
    </row>
    <row r="22" spans="1:10" x14ac:dyDescent="0.25">
      <c r="A22">
        <f>A18+1</f>
        <v>6</v>
      </c>
      <c r="B22" s="1" t="s">
        <v>11</v>
      </c>
      <c r="C22" s="1" t="s">
        <v>14</v>
      </c>
      <c r="D22" s="1" t="s">
        <v>39</v>
      </c>
      <c r="E22" t="s">
        <v>7</v>
      </c>
      <c r="F22" t="s">
        <v>8</v>
      </c>
      <c r="G22" t="str">
        <f>VLOOKUP(E22,Sheet1!$B$1:$D$41,2,FALSE)</f>
        <v>Simon</v>
      </c>
      <c r="H22" t="str">
        <f>VLOOKUP(F22,Sheet1!$B$1:$D$41,2,FALSE)</f>
        <v>Gavin</v>
      </c>
      <c r="I22">
        <f>VLOOKUP(E22,Sheet1!$B$1:$D$41,3,FALSE)</f>
        <v>2438184</v>
      </c>
      <c r="J22">
        <f>VLOOKUP(F22,Sheet1!$B$1:$D$41,3,FALSE)</f>
        <v>2438353</v>
      </c>
    </row>
    <row r="23" spans="1:10" x14ac:dyDescent="0.25">
      <c r="A23">
        <f>A19+1</f>
        <v>6</v>
      </c>
      <c r="B23" s="1" t="s">
        <v>11</v>
      </c>
      <c r="C23" s="1" t="s">
        <v>14</v>
      </c>
      <c r="D23" s="1" t="s">
        <v>39</v>
      </c>
      <c r="E23" t="s">
        <v>10</v>
      </c>
      <c r="F23" t="s">
        <v>74</v>
      </c>
      <c r="G23" t="str">
        <f>VLOOKUP(E23,Sheet1!$B$1:$D$41,2,FALSE)</f>
        <v>Andy</v>
      </c>
      <c r="H23" t="str">
        <f>VLOOKUP(F23,Sheet1!$B$1:$D$41,2,FALSE)</f>
        <v>James</v>
      </c>
      <c r="I23">
        <f>VLOOKUP(E23,Sheet1!$B$1:$D$41,3,FALSE)</f>
        <v>882240</v>
      </c>
      <c r="J23">
        <f>VLOOKUP(F23,Sheet1!$B$1:$D$41,3,FALSE)</f>
        <v>2439477</v>
      </c>
    </row>
    <row r="24" spans="1:10" x14ac:dyDescent="0.25">
      <c r="A24">
        <f>A20+1</f>
        <v>6</v>
      </c>
      <c r="B24" s="1" t="s">
        <v>11</v>
      </c>
      <c r="C24" s="1" t="s">
        <v>14</v>
      </c>
      <c r="D24" s="1" t="s">
        <v>39</v>
      </c>
      <c r="E24" t="s">
        <v>75</v>
      </c>
      <c r="F24" t="s">
        <v>73</v>
      </c>
      <c r="G24" t="str">
        <f>VLOOKUP(E24,Sheet1!$B$1:$D$41,2,FALSE)</f>
        <v>Keith</v>
      </c>
      <c r="H24" t="str">
        <f>VLOOKUP(F24,Sheet1!$B$1:$D$41,2,FALSE)</f>
        <v>Steven</v>
      </c>
      <c r="I24">
        <f>VLOOKUP(E24,Sheet1!$B$1:$D$41,3,FALSE)</f>
        <v>2445169</v>
      </c>
      <c r="J24">
        <f>VLOOKUP(F24,Sheet1!$B$1:$D$41,3,FALSE)</f>
        <v>2440073</v>
      </c>
    </row>
    <row r="25" spans="1:10" x14ac:dyDescent="0.25">
      <c r="A25">
        <f>A21+1</f>
        <v>6</v>
      </c>
      <c r="B25" s="1" t="s">
        <v>11</v>
      </c>
      <c r="C25" s="1" t="s">
        <v>14</v>
      </c>
      <c r="D25" s="1" t="s">
        <v>39</v>
      </c>
      <c r="E25" t="s">
        <v>9</v>
      </c>
      <c r="F25" t="s">
        <v>6</v>
      </c>
      <c r="G25" t="str">
        <f>VLOOKUP(E25,Sheet1!$B$1:$D$41,2,FALSE)</f>
        <v>Walid</v>
      </c>
      <c r="H25" t="str">
        <f>VLOOKUP(F25,Sheet1!$B$1:$D$41,2,FALSE)</f>
        <v>Gordon</v>
      </c>
      <c r="I25">
        <f>VLOOKUP(E25,Sheet1!$B$1:$D$41,3,FALSE)</f>
        <v>2752114</v>
      </c>
      <c r="J25">
        <f>VLOOKUP(F25,Sheet1!$B$1:$D$41,3,FALSE)</f>
        <v>2441126</v>
      </c>
    </row>
    <row r="26" spans="1:10" x14ac:dyDescent="0.25">
      <c r="A26">
        <f>A22+1</f>
        <v>7</v>
      </c>
      <c r="B26" s="1" t="s">
        <v>11</v>
      </c>
      <c r="C26" s="1" t="s">
        <v>14</v>
      </c>
      <c r="D26" s="1" t="s">
        <v>39</v>
      </c>
      <c r="E26" t="s">
        <v>8</v>
      </c>
      <c r="F26" t="s">
        <v>9</v>
      </c>
      <c r="G26" t="str">
        <f>VLOOKUP(E26,Sheet1!$B$1:$D$41,2,FALSE)</f>
        <v>Gavin</v>
      </c>
      <c r="H26" t="str">
        <f>VLOOKUP(F26,Sheet1!$B$1:$D$41,2,FALSE)</f>
        <v>Walid</v>
      </c>
      <c r="I26">
        <f>VLOOKUP(E26,Sheet1!$B$1:$D$41,3,FALSE)</f>
        <v>2438353</v>
      </c>
      <c r="J26">
        <f>VLOOKUP(F26,Sheet1!$B$1:$D$41,3,FALSE)</f>
        <v>2752114</v>
      </c>
    </row>
    <row r="27" spans="1:10" x14ac:dyDescent="0.25">
      <c r="A27">
        <f>A23+1</f>
        <v>7</v>
      </c>
      <c r="B27" s="1" t="s">
        <v>11</v>
      </c>
      <c r="C27" s="1" t="s">
        <v>14</v>
      </c>
      <c r="D27" s="1" t="s">
        <v>39</v>
      </c>
      <c r="E27" t="s">
        <v>6</v>
      </c>
      <c r="F27" t="s">
        <v>74</v>
      </c>
      <c r="G27" t="str">
        <f>VLOOKUP(E27,Sheet1!$B$1:$D$41,2,FALSE)</f>
        <v>Gordon</v>
      </c>
      <c r="H27" t="str">
        <f>VLOOKUP(F27,Sheet1!$B$1:$D$41,2,FALSE)</f>
        <v>James</v>
      </c>
      <c r="I27">
        <f>VLOOKUP(E27,Sheet1!$B$1:$D$41,3,FALSE)</f>
        <v>2441126</v>
      </c>
      <c r="J27">
        <f>VLOOKUP(F27,Sheet1!$B$1:$D$41,3,FALSE)</f>
        <v>2439477</v>
      </c>
    </row>
    <row r="28" spans="1:10" x14ac:dyDescent="0.25">
      <c r="A28">
        <f>A24+1</f>
        <v>7</v>
      </c>
      <c r="B28" s="1" t="s">
        <v>11</v>
      </c>
      <c r="C28" s="1" t="s">
        <v>14</v>
      </c>
      <c r="D28" s="1" t="s">
        <v>39</v>
      </c>
      <c r="E28" t="s">
        <v>7</v>
      </c>
      <c r="F28" t="s">
        <v>73</v>
      </c>
      <c r="G28" t="str">
        <f>VLOOKUP(E28,Sheet1!$B$1:$D$41,2,FALSE)</f>
        <v>Simon</v>
      </c>
      <c r="H28" t="str">
        <f>VLOOKUP(F28,Sheet1!$B$1:$D$41,2,FALSE)</f>
        <v>Steven</v>
      </c>
      <c r="I28">
        <f>VLOOKUP(E28,Sheet1!$B$1:$D$41,3,FALSE)</f>
        <v>2438184</v>
      </c>
      <c r="J28">
        <f>VLOOKUP(F28,Sheet1!$B$1:$D$41,3,FALSE)</f>
        <v>2440073</v>
      </c>
    </row>
    <row r="29" spans="1:10" x14ac:dyDescent="0.25">
      <c r="A29">
        <f>A25+1</f>
        <v>7</v>
      </c>
      <c r="B29" s="1" t="s">
        <v>11</v>
      </c>
      <c r="C29" s="1" t="s">
        <v>14</v>
      </c>
      <c r="D29" s="1" t="s">
        <v>39</v>
      </c>
      <c r="E29" t="s">
        <v>75</v>
      </c>
      <c r="F29" t="s">
        <v>10</v>
      </c>
      <c r="G29" t="str">
        <f>VLOOKUP(E29,Sheet1!$B$1:$D$41,2,FALSE)</f>
        <v>Keith</v>
      </c>
      <c r="H29" t="str">
        <f>VLOOKUP(F29,Sheet1!$B$1:$D$41,2,FALSE)</f>
        <v>Andy</v>
      </c>
      <c r="I29">
        <f>VLOOKUP(E29,Sheet1!$B$1:$D$41,3,FALSE)</f>
        <v>2445169</v>
      </c>
      <c r="J29">
        <f>VLOOKUP(F29,Sheet1!$B$1:$D$41,3,FALSE)</f>
        <v>882240</v>
      </c>
    </row>
    <row r="30" spans="1:10" x14ac:dyDescent="0.25">
      <c r="A30">
        <f>A26+1</f>
        <v>8</v>
      </c>
      <c r="B30" s="1" t="s">
        <v>11</v>
      </c>
      <c r="C30" s="1" t="s">
        <v>14</v>
      </c>
      <c r="D30" s="1" t="s">
        <v>39</v>
      </c>
      <c r="E30" t="s">
        <v>6</v>
      </c>
      <c r="F30" t="s">
        <v>10</v>
      </c>
      <c r="G30" t="str">
        <f>VLOOKUP(E30,Sheet1!$B$1:$D$41,2,FALSE)</f>
        <v>Gordon</v>
      </c>
      <c r="H30" t="str">
        <f>VLOOKUP(F30,Sheet1!$B$1:$D$41,2,FALSE)</f>
        <v>Andy</v>
      </c>
      <c r="I30">
        <f>VLOOKUP(E30,Sheet1!$B$1:$D$41,3,FALSE)</f>
        <v>2441126</v>
      </c>
      <c r="J30">
        <f>VLOOKUP(F30,Sheet1!$B$1:$D$41,3,FALSE)</f>
        <v>882240</v>
      </c>
    </row>
    <row r="31" spans="1:10" x14ac:dyDescent="0.25">
      <c r="A31">
        <f>A27+1</f>
        <v>8</v>
      </c>
      <c r="B31" s="1" t="s">
        <v>11</v>
      </c>
      <c r="C31" s="1" t="s">
        <v>14</v>
      </c>
      <c r="D31" s="1" t="s">
        <v>39</v>
      </c>
      <c r="E31" t="s">
        <v>7</v>
      </c>
      <c r="F31" t="s">
        <v>75</v>
      </c>
      <c r="G31" t="str">
        <f>VLOOKUP(E31,Sheet1!$B$1:$D$41,2,FALSE)</f>
        <v>Simon</v>
      </c>
      <c r="H31" t="str">
        <f>VLOOKUP(F31,Sheet1!$B$1:$D$41,2,FALSE)</f>
        <v>Keith</v>
      </c>
      <c r="I31">
        <f>VLOOKUP(E31,Sheet1!$B$1:$D$41,3,FALSE)</f>
        <v>2438184</v>
      </c>
      <c r="J31">
        <f>VLOOKUP(F31,Sheet1!$B$1:$D$41,3,FALSE)</f>
        <v>2445169</v>
      </c>
    </row>
    <row r="32" spans="1:10" x14ac:dyDescent="0.25">
      <c r="A32">
        <f>A28+1</f>
        <v>8</v>
      </c>
      <c r="B32" s="1" t="s">
        <v>11</v>
      </c>
      <c r="C32" s="1" t="s">
        <v>14</v>
      </c>
      <c r="D32" s="1" t="s">
        <v>39</v>
      </c>
      <c r="E32" t="s">
        <v>8</v>
      </c>
      <c r="F32" t="s">
        <v>74</v>
      </c>
      <c r="G32" t="str">
        <f>VLOOKUP(E32,Sheet1!$B$1:$D$41,2,FALSE)</f>
        <v>Gavin</v>
      </c>
      <c r="H32" t="str">
        <f>VLOOKUP(F32,Sheet1!$B$1:$D$41,2,FALSE)</f>
        <v>James</v>
      </c>
      <c r="I32">
        <f>VLOOKUP(E32,Sheet1!$B$1:$D$41,3,FALSE)</f>
        <v>2438353</v>
      </c>
      <c r="J32">
        <f>VLOOKUP(F32,Sheet1!$B$1:$D$41,3,FALSE)</f>
        <v>2439477</v>
      </c>
    </row>
    <row r="33" spans="1:10" x14ac:dyDescent="0.25">
      <c r="A33">
        <f>A29+1</f>
        <v>8</v>
      </c>
      <c r="B33" s="1" t="s">
        <v>11</v>
      </c>
      <c r="C33" s="1" t="s">
        <v>14</v>
      </c>
      <c r="D33" s="1" t="s">
        <v>39</v>
      </c>
      <c r="E33" t="s">
        <v>9</v>
      </c>
      <c r="F33" t="s">
        <v>73</v>
      </c>
      <c r="G33" t="str">
        <f>VLOOKUP(E33,Sheet1!$B$1:$D$41,2,FALSE)</f>
        <v>Walid</v>
      </c>
      <c r="H33" t="str">
        <f>VLOOKUP(F33,Sheet1!$B$1:$D$41,2,FALSE)</f>
        <v>Steven</v>
      </c>
      <c r="I33">
        <f>VLOOKUP(E33,Sheet1!$B$1:$D$41,3,FALSE)</f>
        <v>2752114</v>
      </c>
      <c r="J33">
        <f>VLOOKUP(F33,Sheet1!$B$1:$D$41,3,FALSE)</f>
        <v>2440073</v>
      </c>
    </row>
    <row r="34" spans="1:10" x14ac:dyDescent="0.25">
      <c r="A34">
        <f>A30+1</f>
        <v>9</v>
      </c>
      <c r="B34" s="1" t="s">
        <v>11</v>
      </c>
      <c r="C34" s="1" t="s">
        <v>14</v>
      </c>
      <c r="D34" s="1" t="s">
        <v>39</v>
      </c>
      <c r="E34" t="s">
        <v>10</v>
      </c>
      <c r="F34" t="s">
        <v>9</v>
      </c>
      <c r="G34" t="str">
        <f>VLOOKUP(E34,Sheet1!$B$1:$D$41,2,FALSE)</f>
        <v>Andy</v>
      </c>
      <c r="H34" t="str">
        <f>VLOOKUP(F34,Sheet1!$B$1:$D$41,2,FALSE)</f>
        <v>Walid</v>
      </c>
      <c r="I34">
        <f>VLOOKUP(E34,Sheet1!$B$1:$D$41,3,FALSE)</f>
        <v>882240</v>
      </c>
      <c r="J34">
        <f>VLOOKUP(F34,Sheet1!$B$1:$D$41,3,FALSE)</f>
        <v>2752114</v>
      </c>
    </row>
    <row r="35" spans="1:10" x14ac:dyDescent="0.25">
      <c r="A35">
        <f>A31+1</f>
        <v>9</v>
      </c>
      <c r="B35" s="1" t="s">
        <v>11</v>
      </c>
      <c r="C35" s="1" t="s">
        <v>14</v>
      </c>
      <c r="D35" s="1" t="s">
        <v>39</v>
      </c>
      <c r="E35" t="s">
        <v>73</v>
      </c>
      <c r="F35" t="s">
        <v>8</v>
      </c>
      <c r="G35" t="str">
        <f>VLOOKUP(E35,Sheet1!$B$1:$D$41,2,FALSE)</f>
        <v>Steven</v>
      </c>
      <c r="H35" t="str">
        <f>VLOOKUP(F35,Sheet1!$B$1:$D$41,2,FALSE)</f>
        <v>Gavin</v>
      </c>
      <c r="I35">
        <f>VLOOKUP(E35,Sheet1!$B$1:$D$41,3,FALSE)</f>
        <v>2440073</v>
      </c>
      <c r="J35">
        <f>VLOOKUP(F35,Sheet1!$B$1:$D$41,3,FALSE)</f>
        <v>2438353</v>
      </c>
    </row>
    <row r="36" spans="1:10" x14ac:dyDescent="0.25">
      <c r="A36">
        <f>A32+1</f>
        <v>9</v>
      </c>
      <c r="B36" s="1" t="s">
        <v>11</v>
      </c>
      <c r="C36" s="1" t="s">
        <v>14</v>
      </c>
      <c r="D36" s="1" t="s">
        <v>39</v>
      </c>
      <c r="E36" t="s">
        <v>74</v>
      </c>
      <c r="F36" t="s">
        <v>7</v>
      </c>
      <c r="G36" t="str">
        <f>VLOOKUP(E36,Sheet1!$B$1:$D$41,2,FALSE)</f>
        <v>James</v>
      </c>
      <c r="H36" t="str">
        <f>VLOOKUP(F36,Sheet1!$B$1:$D$41,2,FALSE)</f>
        <v>Simon</v>
      </c>
      <c r="I36">
        <f>VLOOKUP(E36,Sheet1!$B$1:$D$41,3,FALSE)</f>
        <v>2439477</v>
      </c>
      <c r="J36">
        <f>VLOOKUP(F36,Sheet1!$B$1:$D$41,3,FALSE)</f>
        <v>2438184</v>
      </c>
    </row>
    <row r="37" spans="1:10" x14ac:dyDescent="0.25">
      <c r="A37">
        <f>A33+1</f>
        <v>9</v>
      </c>
      <c r="B37" s="1" t="s">
        <v>11</v>
      </c>
      <c r="C37" s="1" t="s">
        <v>14</v>
      </c>
      <c r="D37" s="1" t="s">
        <v>39</v>
      </c>
      <c r="E37" t="s">
        <v>75</v>
      </c>
      <c r="F37" t="s">
        <v>6</v>
      </c>
      <c r="G37" t="str">
        <f>VLOOKUP(E37,Sheet1!$B$1:$D$41,2,FALSE)</f>
        <v>Keith</v>
      </c>
      <c r="H37" t="str">
        <f>VLOOKUP(F37,Sheet1!$B$1:$D$41,2,FALSE)</f>
        <v>Gordon</v>
      </c>
      <c r="I37">
        <f>VLOOKUP(E37,Sheet1!$B$1:$D$41,3,FALSE)</f>
        <v>2445169</v>
      </c>
      <c r="J37">
        <f>VLOOKUP(F37,Sheet1!$B$1:$D$41,3,FALSE)</f>
        <v>2441126</v>
      </c>
    </row>
    <row r="38" spans="1:10" x14ac:dyDescent="0.25">
      <c r="A38">
        <f>A34+1</f>
        <v>10</v>
      </c>
      <c r="B38" s="1" t="s">
        <v>11</v>
      </c>
      <c r="C38" s="1" t="s">
        <v>14</v>
      </c>
      <c r="D38" s="1" t="s">
        <v>39</v>
      </c>
      <c r="E38" t="s">
        <v>8</v>
      </c>
      <c r="F38" t="s">
        <v>6</v>
      </c>
      <c r="G38" t="str">
        <f>VLOOKUP(E38,Sheet1!$B$1:$D$41,2,FALSE)</f>
        <v>Gavin</v>
      </c>
      <c r="H38" t="str">
        <f>VLOOKUP(F38,Sheet1!$B$1:$D$41,2,FALSE)</f>
        <v>Gordon</v>
      </c>
      <c r="I38">
        <f>VLOOKUP(E38,Sheet1!$B$1:$D$41,3,FALSE)</f>
        <v>2438353</v>
      </c>
      <c r="J38">
        <f>VLOOKUP(F38,Sheet1!$B$1:$D$41,3,FALSE)</f>
        <v>2441126</v>
      </c>
    </row>
    <row r="39" spans="1:10" x14ac:dyDescent="0.25">
      <c r="A39">
        <f>A35+1</f>
        <v>10</v>
      </c>
      <c r="B39" s="1" t="s">
        <v>11</v>
      </c>
      <c r="C39" s="1" t="s">
        <v>14</v>
      </c>
      <c r="D39" s="1" t="s">
        <v>39</v>
      </c>
      <c r="E39" t="s">
        <v>73</v>
      </c>
      <c r="F39" t="s">
        <v>74</v>
      </c>
      <c r="G39" t="str">
        <f>VLOOKUP(E39,Sheet1!$B$1:$D$41,2,FALSE)</f>
        <v>Steven</v>
      </c>
      <c r="H39" t="str">
        <f>VLOOKUP(F39,Sheet1!$B$1:$D$41,2,FALSE)</f>
        <v>James</v>
      </c>
      <c r="I39">
        <f>VLOOKUP(E39,Sheet1!$B$1:$D$41,3,FALSE)</f>
        <v>2440073</v>
      </c>
      <c r="J39">
        <f>VLOOKUP(F39,Sheet1!$B$1:$D$41,3,FALSE)</f>
        <v>2439477</v>
      </c>
    </row>
    <row r="40" spans="1:10" x14ac:dyDescent="0.25">
      <c r="A40">
        <f>A36+1</f>
        <v>10</v>
      </c>
      <c r="B40" s="1" t="s">
        <v>11</v>
      </c>
      <c r="C40" s="1" t="s">
        <v>14</v>
      </c>
      <c r="D40" s="1" t="s">
        <v>39</v>
      </c>
      <c r="E40" t="s">
        <v>7</v>
      </c>
      <c r="F40" t="s">
        <v>10</v>
      </c>
      <c r="G40" t="str">
        <f>VLOOKUP(E40,Sheet1!$B$1:$D$41,2,FALSE)</f>
        <v>Simon</v>
      </c>
      <c r="H40" t="str">
        <f>VLOOKUP(F40,Sheet1!$B$1:$D$41,2,FALSE)</f>
        <v>Andy</v>
      </c>
      <c r="I40">
        <f>VLOOKUP(E40,Sheet1!$B$1:$D$41,3,FALSE)</f>
        <v>2438184</v>
      </c>
      <c r="J40">
        <f>VLOOKUP(F40,Sheet1!$B$1:$D$41,3,FALSE)</f>
        <v>882240</v>
      </c>
    </row>
    <row r="41" spans="1:10" x14ac:dyDescent="0.25">
      <c r="A41">
        <f>A37+1</f>
        <v>10</v>
      </c>
      <c r="B41" s="1" t="s">
        <v>11</v>
      </c>
      <c r="C41" s="1" t="s">
        <v>14</v>
      </c>
      <c r="D41" s="1" t="s">
        <v>39</v>
      </c>
      <c r="E41" t="s">
        <v>9</v>
      </c>
      <c r="F41" t="s">
        <v>75</v>
      </c>
      <c r="G41" t="str">
        <f>VLOOKUP(E41,Sheet1!$B$1:$D$41,2,FALSE)</f>
        <v>Walid</v>
      </c>
      <c r="H41" t="str">
        <f>VLOOKUP(F41,Sheet1!$B$1:$D$41,2,FALSE)</f>
        <v>Keith</v>
      </c>
      <c r="I41">
        <f>VLOOKUP(E41,Sheet1!$B$1:$D$41,3,FALSE)</f>
        <v>2752114</v>
      </c>
      <c r="J41">
        <f>VLOOKUP(F41,Sheet1!$B$1:$D$41,3,FALSE)</f>
        <v>2445169</v>
      </c>
    </row>
    <row r="42" spans="1:10" x14ac:dyDescent="0.25">
      <c r="A42">
        <f>A38+1</f>
        <v>11</v>
      </c>
      <c r="B42" s="1" t="s">
        <v>11</v>
      </c>
      <c r="C42" s="1" t="s">
        <v>14</v>
      </c>
      <c r="D42" s="1" t="s">
        <v>39</v>
      </c>
      <c r="E42" t="s">
        <v>75</v>
      </c>
      <c r="F42" t="s">
        <v>8</v>
      </c>
      <c r="G42" t="str">
        <f>VLOOKUP(E42,Sheet1!$B$1:$D$41,2,FALSE)</f>
        <v>Keith</v>
      </c>
      <c r="H42" t="str">
        <f>VLOOKUP(F42,Sheet1!$B$1:$D$41,2,FALSE)</f>
        <v>Gavin</v>
      </c>
      <c r="I42">
        <f>VLOOKUP(E42,Sheet1!$B$1:$D$41,3,FALSE)</f>
        <v>2445169</v>
      </c>
      <c r="J42">
        <f>VLOOKUP(F42,Sheet1!$B$1:$D$41,3,FALSE)</f>
        <v>2438353</v>
      </c>
    </row>
    <row r="43" spans="1:10" x14ac:dyDescent="0.25">
      <c r="A43">
        <f>A39+1</f>
        <v>11</v>
      </c>
      <c r="B43" s="1" t="s">
        <v>11</v>
      </c>
      <c r="C43" s="1" t="s">
        <v>14</v>
      </c>
      <c r="D43" s="1" t="s">
        <v>39</v>
      </c>
      <c r="E43" t="s">
        <v>10</v>
      </c>
      <c r="F43" t="s">
        <v>73</v>
      </c>
      <c r="G43" t="str">
        <f>VLOOKUP(E43,Sheet1!$B$1:$D$41,2,FALSE)</f>
        <v>Andy</v>
      </c>
      <c r="H43" t="str">
        <f>VLOOKUP(F43,Sheet1!$B$1:$D$41,2,FALSE)</f>
        <v>Steven</v>
      </c>
      <c r="I43">
        <f>VLOOKUP(E43,Sheet1!$B$1:$D$41,3,FALSE)</f>
        <v>882240</v>
      </c>
      <c r="J43">
        <f>VLOOKUP(F43,Sheet1!$B$1:$D$41,3,FALSE)</f>
        <v>2440073</v>
      </c>
    </row>
    <row r="44" spans="1:10" x14ac:dyDescent="0.25">
      <c r="A44">
        <f>A40+1</f>
        <v>11</v>
      </c>
      <c r="B44" s="1" t="s">
        <v>11</v>
      </c>
      <c r="C44" s="1" t="s">
        <v>14</v>
      </c>
      <c r="D44" s="1" t="s">
        <v>39</v>
      </c>
      <c r="E44" t="s">
        <v>6</v>
      </c>
      <c r="F44" t="s">
        <v>7</v>
      </c>
      <c r="G44" t="str">
        <f>VLOOKUP(E44,Sheet1!$B$1:$D$41,2,FALSE)</f>
        <v>Gordon</v>
      </c>
      <c r="H44" t="str">
        <f>VLOOKUP(F44,Sheet1!$B$1:$D$41,2,FALSE)</f>
        <v>Simon</v>
      </c>
      <c r="I44">
        <f>VLOOKUP(E44,Sheet1!$B$1:$D$41,3,FALSE)</f>
        <v>2441126</v>
      </c>
      <c r="J44">
        <f>VLOOKUP(F44,Sheet1!$B$1:$D$41,3,FALSE)</f>
        <v>2438184</v>
      </c>
    </row>
    <row r="45" spans="1:10" x14ac:dyDescent="0.25">
      <c r="A45">
        <f>A41+1</f>
        <v>11</v>
      </c>
      <c r="B45" s="1" t="s">
        <v>11</v>
      </c>
      <c r="C45" s="1" t="s">
        <v>14</v>
      </c>
      <c r="D45" s="1" t="s">
        <v>39</v>
      </c>
      <c r="E45" t="s">
        <v>9</v>
      </c>
      <c r="F45" t="s">
        <v>74</v>
      </c>
      <c r="G45" t="str">
        <f>VLOOKUP(E45,Sheet1!$B$1:$D$41,2,FALSE)</f>
        <v>Walid</v>
      </c>
      <c r="H45" t="str">
        <f>VLOOKUP(F45,Sheet1!$B$1:$D$41,2,FALSE)</f>
        <v>James</v>
      </c>
      <c r="I45">
        <f>VLOOKUP(E45,Sheet1!$B$1:$D$41,3,FALSE)</f>
        <v>2752114</v>
      </c>
      <c r="J45">
        <f>VLOOKUP(F45,Sheet1!$B$1:$D$41,3,FALSE)</f>
        <v>2439477</v>
      </c>
    </row>
    <row r="46" spans="1:10" x14ac:dyDescent="0.25">
      <c r="A46">
        <f>A42+1</f>
        <v>12</v>
      </c>
      <c r="B46" s="1" t="s">
        <v>11</v>
      </c>
      <c r="C46" s="1" t="s">
        <v>14</v>
      </c>
      <c r="D46" s="1" t="s">
        <v>39</v>
      </c>
      <c r="E46" t="s">
        <v>8</v>
      </c>
      <c r="F46" t="s">
        <v>10</v>
      </c>
      <c r="G46" t="str">
        <f>VLOOKUP(E46,Sheet1!$B$1:$D$41,2,FALSE)</f>
        <v>Gavin</v>
      </c>
      <c r="H46" t="str">
        <f>VLOOKUP(F46,Sheet1!$B$1:$D$41,2,FALSE)</f>
        <v>Andy</v>
      </c>
      <c r="I46">
        <f>VLOOKUP(E46,Sheet1!$B$1:$D$41,3,FALSE)</f>
        <v>2438353</v>
      </c>
      <c r="J46">
        <f>VLOOKUP(F46,Sheet1!$B$1:$D$41,3,FALSE)</f>
        <v>882240</v>
      </c>
    </row>
    <row r="47" spans="1:10" x14ac:dyDescent="0.25">
      <c r="A47">
        <f>A43+1</f>
        <v>12</v>
      </c>
      <c r="B47" s="1" t="s">
        <v>11</v>
      </c>
      <c r="C47" s="1" t="s">
        <v>14</v>
      </c>
      <c r="D47" s="1" t="s">
        <v>39</v>
      </c>
      <c r="E47" t="s">
        <v>74</v>
      </c>
      <c r="F47" t="s">
        <v>75</v>
      </c>
      <c r="G47" t="str">
        <f>VLOOKUP(E47,Sheet1!$B$1:$D$41,2,FALSE)</f>
        <v>James</v>
      </c>
      <c r="H47" t="str">
        <f>VLOOKUP(F47,Sheet1!$B$1:$D$41,2,FALSE)</f>
        <v>Keith</v>
      </c>
      <c r="I47">
        <f>VLOOKUP(E47,Sheet1!$B$1:$D$41,3,FALSE)</f>
        <v>2439477</v>
      </c>
      <c r="J47">
        <f>VLOOKUP(F47,Sheet1!$B$1:$D$41,3,FALSE)</f>
        <v>2445169</v>
      </c>
    </row>
    <row r="48" spans="1:10" x14ac:dyDescent="0.25">
      <c r="A48">
        <f>A44+1</f>
        <v>12</v>
      </c>
      <c r="B48" s="1" t="s">
        <v>11</v>
      </c>
      <c r="C48" s="1" t="s">
        <v>14</v>
      </c>
      <c r="D48" s="1" t="s">
        <v>39</v>
      </c>
      <c r="E48" t="s">
        <v>73</v>
      </c>
      <c r="F48" t="s">
        <v>6</v>
      </c>
      <c r="G48" t="str">
        <f>VLOOKUP(E48,Sheet1!$B$1:$D$41,2,FALSE)</f>
        <v>Steven</v>
      </c>
      <c r="H48" t="str">
        <f>VLOOKUP(F48,Sheet1!$B$1:$D$41,2,FALSE)</f>
        <v>Gordon</v>
      </c>
      <c r="I48">
        <f>VLOOKUP(E48,Sheet1!$B$1:$D$41,3,FALSE)</f>
        <v>2440073</v>
      </c>
      <c r="J48">
        <f>VLOOKUP(F48,Sheet1!$B$1:$D$41,3,FALSE)</f>
        <v>2441126</v>
      </c>
    </row>
    <row r="49" spans="1:10" x14ac:dyDescent="0.25">
      <c r="A49">
        <f>A45+1</f>
        <v>12</v>
      </c>
      <c r="B49" s="1" t="s">
        <v>11</v>
      </c>
      <c r="C49" s="1" t="s">
        <v>14</v>
      </c>
      <c r="D49" s="1" t="s">
        <v>39</v>
      </c>
      <c r="E49" t="s">
        <v>9</v>
      </c>
      <c r="F49" t="s">
        <v>7</v>
      </c>
      <c r="G49" t="str">
        <f>VLOOKUP(E49,Sheet1!$B$1:$D$41,2,FALSE)</f>
        <v>Walid</v>
      </c>
      <c r="H49" t="str">
        <f>VLOOKUP(F49,Sheet1!$B$1:$D$41,2,FALSE)</f>
        <v>Simon</v>
      </c>
      <c r="I49">
        <f>VLOOKUP(E49,Sheet1!$B$1:$D$41,3,FALSE)</f>
        <v>2752114</v>
      </c>
      <c r="J49">
        <f>VLOOKUP(F49,Sheet1!$B$1:$D$41,3,FALSE)</f>
        <v>2438184</v>
      </c>
    </row>
    <row r="50" spans="1:10" x14ac:dyDescent="0.25">
      <c r="A50">
        <f>A46+1</f>
        <v>13</v>
      </c>
      <c r="B50" s="1" t="s">
        <v>11</v>
      </c>
      <c r="C50" s="1" t="s">
        <v>14</v>
      </c>
      <c r="D50" s="1" t="s">
        <v>39</v>
      </c>
      <c r="E50" t="s">
        <v>7</v>
      </c>
      <c r="F50" t="s">
        <v>8</v>
      </c>
      <c r="G50" t="str">
        <f>VLOOKUP(E50,Sheet1!$B$1:$D$41,2,FALSE)</f>
        <v>Simon</v>
      </c>
      <c r="H50" t="str">
        <f>VLOOKUP(F50,Sheet1!$B$1:$D$41,2,FALSE)</f>
        <v>Gavin</v>
      </c>
      <c r="I50">
        <f>VLOOKUP(E50,Sheet1!$B$1:$D$41,3,FALSE)</f>
        <v>2438184</v>
      </c>
      <c r="J50">
        <f>VLOOKUP(F50,Sheet1!$B$1:$D$41,3,FALSE)</f>
        <v>2438353</v>
      </c>
    </row>
    <row r="51" spans="1:10" x14ac:dyDescent="0.25">
      <c r="A51">
        <f>A47+1</f>
        <v>13</v>
      </c>
      <c r="B51" s="1" t="s">
        <v>11</v>
      </c>
      <c r="C51" s="1" t="s">
        <v>14</v>
      </c>
      <c r="D51" s="1" t="s">
        <v>39</v>
      </c>
      <c r="E51" t="s">
        <v>10</v>
      </c>
      <c r="F51" t="s">
        <v>74</v>
      </c>
      <c r="G51" t="str">
        <f>VLOOKUP(E51,Sheet1!$B$1:$D$41,2,FALSE)</f>
        <v>Andy</v>
      </c>
      <c r="H51" t="str">
        <f>VLOOKUP(F51,Sheet1!$B$1:$D$41,2,FALSE)</f>
        <v>James</v>
      </c>
      <c r="I51">
        <f>VLOOKUP(E51,Sheet1!$B$1:$D$41,3,FALSE)</f>
        <v>882240</v>
      </c>
      <c r="J51">
        <f>VLOOKUP(F51,Sheet1!$B$1:$D$41,3,FALSE)</f>
        <v>2439477</v>
      </c>
    </row>
    <row r="52" spans="1:10" x14ac:dyDescent="0.25">
      <c r="A52">
        <f>A48+1</f>
        <v>13</v>
      </c>
      <c r="B52" s="1" t="s">
        <v>11</v>
      </c>
      <c r="C52" s="1" t="s">
        <v>14</v>
      </c>
      <c r="D52" s="1" t="s">
        <v>39</v>
      </c>
      <c r="E52" t="s">
        <v>75</v>
      </c>
      <c r="F52" t="s">
        <v>73</v>
      </c>
      <c r="G52" t="str">
        <f>VLOOKUP(E52,Sheet1!$B$1:$D$41,2,FALSE)</f>
        <v>Keith</v>
      </c>
      <c r="H52" t="str">
        <f>VLOOKUP(F52,Sheet1!$B$1:$D$41,2,FALSE)</f>
        <v>Steven</v>
      </c>
      <c r="I52">
        <f>VLOOKUP(E52,Sheet1!$B$1:$D$41,3,FALSE)</f>
        <v>2445169</v>
      </c>
      <c r="J52">
        <f>VLOOKUP(F52,Sheet1!$B$1:$D$41,3,FALSE)</f>
        <v>2440073</v>
      </c>
    </row>
    <row r="53" spans="1:10" x14ac:dyDescent="0.25">
      <c r="A53">
        <f>A49+1</f>
        <v>13</v>
      </c>
      <c r="B53" s="1" t="s">
        <v>11</v>
      </c>
      <c r="C53" s="1" t="s">
        <v>14</v>
      </c>
      <c r="D53" s="1" t="s">
        <v>39</v>
      </c>
      <c r="E53" t="s">
        <v>9</v>
      </c>
      <c r="F53" t="s">
        <v>6</v>
      </c>
      <c r="G53" t="str">
        <f>VLOOKUP(E53,Sheet1!$B$1:$D$41,2,FALSE)</f>
        <v>Walid</v>
      </c>
      <c r="H53" t="str">
        <f>VLOOKUP(F53,Sheet1!$B$1:$D$41,2,FALSE)</f>
        <v>Gordon</v>
      </c>
      <c r="I53">
        <f>VLOOKUP(E53,Sheet1!$B$1:$D$41,3,FALSE)</f>
        <v>2752114</v>
      </c>
      <c r="J53">
        <f>VLOOKUP(F53,Sheet1!$B$1:$D$41,3,FALSE)</f>
        <v>2441126</v>
      </c>
    </row>
    <row r="54" spans="1:10" x14ac:dyDescent="0.25">
      <c r="A54">
        <f>A50+1</f>
        <v>14</v>
      </c>
      <c r="B54" s="1" t="s">
        <v>11</v>
      </c>
      <c r="C54" s="1" t="s">
        <v>14</v>
      </c>
      <c r="D54" s="1" t="s">
        <v>39</v>
      </c>
      <c r="E54" t="s">
        <v>8</v>
      </c>
      <c r="F54" t="s">
        <v>9</v>
      </c>
      <c r="G54" t="str">
        <f>VLOOKUP(E54,Sheet1!$B$1:$D$41,2,FALSE)</f>
        <v>Gavin</v>
      </c>
      <c r="H54" t="str">
        <f>VLOOKUP(F54,Sheet1!$B$1:$D$41,2,FALSE)</f>
        <v>Walid</v>
      </c>
      <c r="I54">
        <f>VLOOKUP(E54,Sheet1!$B$1:$D$41,3,FALSE)</f>
        <v>2438353</v>
      </c>
      <c r="J54">
        <f>VLOOKUP(F54,Sheet1!$B$1:$D$41,3,FALSE)</f>
        <v>2752114</v>
      </c>
    </row>
    <row r="55" spans="1:10" x14ac:dyDescent="0.25">
      <c r="A55">
        <f>A51+1</f>
        <v>14</v>
      </c>
      <c r="B55" s="1" t="s">
        <v>11</v>
      </c>
      <c r="C55" s="1" t="s">
        <v>14</v>
      </c>
      <c r="D55" s="1" t="s">
        <v>39</v>
      </c>
      <c r="E55" t="s">
        <v>6</v>
      </c>
      <c r="F55" t="s">
        <v>74</v>
      </c>
      <c r="G55" t="str">
        <f>VLOOKUP(E55,Sheet1!$B$1:$D$41,2,FALSE)</f>
        <v>Gordon</v>
      </c>
      <c r="H55" t="str">
        <f>VLOOKUP(F55,Sheet1!$B$1:$D$41,2,FALSE)</f>
        <v>James</v>
      </c>
      <c r="I55">
        <f>VLOOKUP(E55,Sheet1!$B$1:$D$41,3,FALSE)</f>
        <v>2441126</v>
      </c>
      <c r="J55">
        <f>VLOOKUP(F55,Sheet1!$B$1:$D$41,3,FALSE)</f>
        <v>2439477</v>
      </c>
    </row>
    <row r="56" spans="1:10" x14ac:dyDescent="0.25">
      <c r="A56">
        <f>A52+1</f>
        <v>14</v>
      </c>
      <c r="B56" s="1" t="s">
        <v>11</v>
      </c>
      <c r="C56" s="1" t="s">
        <v>14</v>
      </c>
      <c r="D56" s="1" t="s">
        <v>39</v>
      </c>
      <c r="E56" t="s">
        <v>7</v>
      </c>
      <c r="F56" t="s">
        <v>73</v>
      </c>
      <c r="G56" t="str">
        <f>VLOOKUP(E56,Sheet1!$B$1:$D$41,2,FALSE)</f>
        <v>Simon</v>
      </c>
      <c r="H56" t="str">
        <f>VLOOKUP(F56,Sheet1!$B$1:$D$41,2,FALSE)</f>
        <v>Steven</v>
      </c>
      <c r="I56">
        <f>VLOOKUP(E56,Sheet1!$B$1:$D$41,3,FALSE)</f>
        <v>2438184</v>
      </c>
      <c r="J56">
        <f>VLOOKUP(F56,Sheet1!$B$1:$D$41,3,FALSE)</f>
        <v>2440073</v>
      </c>
    </row>
    <row r="57" spans="1:10" x14ac:dyDescent="0.25">
      <c r="A57">
        <f>A53+1</f>
        <v>14</v>
      </c>
      <c r="B57" s="1" t="s">
        <v>11</v>
      </c>
      <c r="C57" s="1" t="s">
        <v>14</v>
      </c>
      <c r="D57" s="1" t="s">
        <v>39</v>
      </c>
      <c r="E57" t="s">
        <v>75</v>
      </c>
      <c r="F57" t="s">
        <v>10</v>
      </c>
      <c r="G57" t="str">
        <f>VLOOKUP(E57,Sheet1!$B$1:$D$41,2,FALSE)</f>
        <v>Keith</v>
      </c>
      <c r="H57" t="str">
        <f>VLOOKUP(F57,Sheet1!$B$1:$D$41,2,FALSE)</f>
        <v>Andy</v>
      </c>
      <c r="I57">
        <f>VLOOKUP(E57,Sheet1!$B$1:$D$41,3,FALSE)</f>
        <v>2445169</v>
      </c>
      <c r="J57">
        <f>VLOOKUP(F57,Sheet1!$B$1:$D$41,3,FALSE)</f>
        <v>882240</v>
      </c>
    </row>
    <row r="58" spans="1:10" x14ac:dyDescent="0.25">
      <c r="A58">
        <f>A54+1</f>
        <v>15</v>
      </c>
      <c r="B58" s="1" t="s">
        <v>11</v>
      </c>
      <c r="C58" s="1" t="s">
        <v>14</v>
      </c>
      <c r="D58" s="1" t="s">
        <v>39</v>
      </c>
      <c r="E58" t="s">
        <v>6</v>
      </c>
      <c r="F58" t="s">
        <v>10</v>
      </c>
      <c r="G58" t="str">
        <f>VLOOKUP(E58,Sheet1!$B$1:$D$41,2,FALSE)</f>
        <v>Gordon</v>
      </c>
      <c r="H58" t="str">
        <f>VLOOKUP(F58,Sheet1!$B$1:$D$41,2,FALSE)</f>
        <v>Andy</v>
      </c>
      <c r="I58">
        <f>VLOOKUP(E58,Sheet1!$B$1:$D$41,3,FALSE)</f>
        <v>2441126</v>
      </c>
      <c r="J58">
        <f>VLOOKUP(F58,Sheet1!$B$1:$D$41,3,FALSE)</f>
        <v>882240</v>
      </c>
    </row>
    <row r="59" spans="1:10" x14ac:dyDescent="0.25">
      <c r="A59">
        <f>A55+1</f>
        <v>15</v>
      </c>
      <c r="B59" s="1" t="s">
        <v>11</v>
      </c>
      <c r="C59" s="1" t="s">
        <v>14</v>
      </c>
      <c r="D59" s="1" t="s">
        <v>39</v>
      </c>
      <c r="E59" t="s">
        <v>7</v>
      </c>
      <c r="F59" t="s">
        <v>75</v>
      </c>
      <c r="G59" t="str">
        <f>VLOOKUP(E59,Sheet1!$B$1:$D$41,2,FALSE)</f>
        <v>Simon</v>
      </c>
      <c r="H59" t="str">
        <f>VLOOKUP(F59,Sheet1!$B$1:$D$41,2,FALSE)</f>
        <v>Keith</v>
      </c>
      <c r="I59">
        <f>VLOOKUP(E59,Sheet1!$B$1:$D$41,3,FALSE)</f>
        <v>2438184</v>
      </c>
      <c r="J59">
        <f>VLOOKUP(F59,Sheet1!$B$1:$D$41,3,FALSE)</f>
        <v>2445169</v>
      </c>
    </row>
    <row r="60" spans="1:10" x14ac:dyDescent="0.25">
      <c r="A60">
        <f>A56+1</f>
        <v>15</v>
      </c>
      <c r="B60" s="1" t="s">
        <v>11</v>
      </c>
      <c r="C60" s="1" t="s">
        <v>14</v>
      </c>
      <c r="D60" s="1" t="s">
        <v>39</v>
      </c>
      <c r="E60" t="s">
        <v>8</v>
      </c>
      <c r="F60" t="s">
        <v>74</v>
      </c>
      <c r="G60" t="str">
        <f>VLOOKUP(E60,Sheet1!$B$1:$D$41,2,FALSE)</f>
        <v>Gavin</v>
      </c>
      <c r="H60" t="str">
        <f>VLOOKUP(F60,Sheet1!$B$1:$D$41,2,FALSE)</f>
        <v>James</v>
      </c>
      <c r="I60">
        <f>VLOOKUP(E60,Sheet1!$B$1:$D$41,3,FALSE)</f>
        <v>2438353</v>
      </c>
      <c r="J60">
        <f>VLOOKUP(F60,Sheet1!$B$1:$D$41,3,FALSE)</f>
        <v>2439477</v>
      </c>
    </row>
    <row r="61" spans="1:10" x14ac:dyDescent="0.25">
      <c r="A61">
        <f>A57+1</f>
        <v>15</v>
      </c>
      <c r="B61" s="1" t="s">
        <v>11</v>
      </c>
      <c r="C61" s="1" t="s">
        <v>14</v>
      </c>
      <c r="D61" s="1" t="s">
        <v>39</v>
      </c>
      <c r="E61" t="s">
        <v>9</v>
      </c>
      <c r="F61" t="s">
        <v>73</v>
      </c>
      <c r="G61" t="str">
        <f>VLOOKUP(E61,Sheet1!$B$1:$D$41,2,FALSE)</f>
        <v>Walid</v>
      </c>
      <c r="H61" t="str">
        <f>VLOOKUP(F61,Sheet1!$B$1:$D$41,2,FALSE)</f>
        <v>Steven</v>
      </c>
      <c r="I61">
        <f>VLOOKUP(E61,Sheet1!$B$1:$D$41,3,FALSE)</f>
        <v>2752114</v>
      </c>
      <c r="J61">
        <f>VLOOKUP(F61,Sheet1!$B$1:$D$41,3,FALSE)</f>
        <v>2440073</v>
      </c>
    </row>
    <row r="62" spans="1:10" x14ac:dyDescent="0.25">
      <c r="A62">
        <f>A58+1</f>
        <v>16</v>
      </c>
      <c r="B62" s="1" t="s">
        <v>11</v>
      </c>
      <c r="C62" s="1" t="s">
        <v>14</v>
      </c>
      <c r="D62" s="1" t="s">
        <v>39</v>
      </c>
      <c r="E62" t="s">
        <v>10</v>
      </c>
      <c r="F62" t="s">
        <v>9</v>
      </c>
      <c r="G62" t="str">
        <f>VLOOKUP(E62,Sheet1!$B$1:$D$41,2,FALSE)</f>
        <v>Andy</v>
      </c>
      <c r="H62" t="str">
        <f>VLOOKUP(F62,Sheet1!$B$1:$D$41,2,FALSE)</f>
        <v>Walid</v>
      </c>
      <c r="I62">
        <f>VLOOKUP(E62,Sheet1!$B$1:$D$41,3,FALSE)</f>
        <v>882240</v>
      </c>
      <c r="J62">
        <f>VLOOKUP(F62,Sheet1!$B$1:$D$41,3,FALSE)</f>
        <v>2752114</v>
      </c>
    </row>
    <row r="63" spans="1:10" x14ac:dyDescent="0.25">
      <c r="A63">
        <f>A59+1</f>
        <v>16</v>
      </c>
      <c r="B63" s="1" t="s">
        <v>11</v>
      </c>
      <c r="C63" s="1" t="s">
        <v>14</v>
      </c>
      <c r="D63" s="1" t="s">
        <v>39</v>
      </c>
      <c r="E63" t="s">
        <v>73</v>
      </c>
      <c r="F63" t="s">
        <v>8</v>
      </c>
      <c r="G63" t="str">
        <f>VLOOKUP(E63,Sheet1!$B$1:$D$41,2,FALSE)</f>
        <v>Steven</v>
      </c>
      <c r="H63" t="str">
        <f>VLOOKUP(F63,Sheet1!$B$1:$D$41,2,FALSE)</f>
        <v>Gavin</v>
      </c>
      <c r="I63">
        <f>VLOOKUP(E63,Sheet1!$B$1:$D$41,3,FALSE)</f>
        <v>2440073</v>
      </c>
      <c r="J63">
        <f>VLOOKUP(F63,Sheet1!$B$1:$D$41,3,FALSE)</f>
        <v>2438353</v>
      </c>
    </row>
    <row r="64" spans="1:10" x14ac:dyDescent="0.25">
      <c r="A64">
        <f>A60+1</f>
        <v>16</v>
      </c>
      <c r="B64" s="1" t="s">
        <v>11</v>
      </c>
      <c r="C64" s="1" t="s">
        <v>14</v>
      </c>
      <c r="D64" s="1" t="s">
        <v>39</v>
      </c>
      <c r="E64" t="s">
        <v>74</v>
      </c>
      <c r="F64" t="s">
        <v>7</v>
      </c>
      <c r="G64" t="str">
        <f>VLOOKUP(E64,Sheet1!$B$1:$D$41,2,FALSE)</f>
        <v>James</v>
      </c>
      <c r="H64" t="str">
        <f>VLOOKUP(F64,Sheet1!$B$1:$D$41,2,FALSE)</f>
        <v>Simon</v>
      </c>
      <c r="I64">
        <f>VLOOKUP(E64,Sheet1!$B$1:$D$41,3,FALSE)</f>
        <v>2439477</v>
      </c>
      <c r="J64">
        <f>VLOOKUP(F64,Sheet1!$B$1:$D$41,3,FALSE)</f>
        <v>2438184</v>
      </c>
    </row>
    <row r="65" spans="1:10" x14ac:dyDescent="0.25">
      <c r="A65">
        <f>A61+1</f>
        <v>16</v>
      </c>
      <c r="B65" s="1" t="s">
        <v>11</v>
      </c>
      <c r="C65" s="1" t="s">
        <v>14</v>
      </c>
      <c r="D65" s="1" t="s">
        <v>39</v>
      </c>
      <c r="E65" t="s">
        <v>75</v>
      </c>
      <c r="F65" t="s">
        <v>6</v>
      </c>
      <c r="G65" t="str">
        <f>VLOOKUP(E65,Sheet1!$B$1:$D$41,2,FALSE)</f>
        <v>Keith</v>
      </c>
      <c r="H65" t="str">
        <f>VLOOKUP(F65,Sheet1!$B$1:$D$41,2,FALSE)</f>
        <v>Gordon</v>
      </c>
      <c r="I65">
        <f>VLOOKUP(E65,Sheet1!$B$1:$D$41,3,FALSE)</f>
        <v>2445169</v>
      </c>
      <c r="J65">
        <f>VLOOKUP(F65,Sheet1!$B$1:$D$41,3,FALSE)</f>
        <v>2441126</v>
      </c>
    </row>
    <row r="66" spans="1:10" x14ac:dyDescent="0.25">
      <c r="A66">
        <f>A62+1</f>
        <v>17</v>
      </c>
      <c r="B66" s="1" t="s">
        <v>11</v>
      </c>
      <c r="C66" s="1" t="s">
        <v>14</v>
      </c>
      <c r="D66" s="1" t="s">
        <v>39</v>
      </c>
      <c r="E66" t="s">
        <v>8</v>
      </c>
      <c r="F66" t="s">
        <v>6</v>
      </c>
      <c r="G66" t="str">
        <f>VLOOKUP(E66,Sheet1!$B$1:$D$41,2,FALSE)</f>
        <v>Gavin</v>
      </c>
      <c r="H66" t="str">
        <f>VLOOKUP(F66,Sheet1!$B$1:$D$41,2,FALSE)</f>
        <v>Gordon</v>
      </c>
      <c r="I66">
        <f>VLOOKUP(E66,Sheet1!$B$1:$D$41,3,FALSE)</f>
        <v>2438353</v>
      </c>
      <c r="J66">
        <f>VLOOKUP(F66,Sheet1!$B$1:$D$41,3,FALSE)</f>
        <v>2441126</v>
      </c>
    </row>
    <row r="67" spans="1:10" x14ac:dyDescent="0.25">
      <c r="A67">
        <f>A63+1</f>
        <v>17</v>
      </c>
      <c r="B67" s="1" t="s">
        <v>11</v>
      </c>
      <c r="C67" s="1" t="s">
        <v>14</v>
      </c>
      <c r="D67" s="1" t="s">
        <v>39</v>
      </c>
      <c r="E67" t="s">
        <v>73</v>
      </c>
      <c r="F67" t="s">
        <v>74</v>
      </c>
      <c r="G67" t="str">
        <f>VLOOKUP(E67,Sheet1!$B$1:$D$41,2,FALSE)</f>
        <v>Steven</v>
      </c>
      <c r="H67" t="str">
        <f>VLOOKUP(F67,Sheet1!$B$1:$D$41,2,FALSE)</f>
        <v>James</v>
      </c>
      <c r="I67">
        <f>VLOOKUP(E67,Sheet1!$B$1:$D$41,3,FALSE)</f>
        <v>2440073</v>
      </c>
      <c r="J67">
        <f>VLOOKUP(F67,Sheet1!$B$1:$D$41,3,FALSE)</f>
        <v>2439477</v>
      </c>
    </row>
    <row r="68" spans="1:10" x14ac:dyDescent="0.25">
      <c r="A68">
        <f>A64+1</f>
        <v>17</v>
      </c>
      <c r="B68" s="1" t="s">
        <v>11</v>
      </c>
      <c r="C68" s="1" t="s">
        <v>14</v>
      </c>
      <c r="D68" s="1" t="s">
        <v>39</v>
      </c>
      <c r="E68" t="s">
        <v>7</v>
      </c>
      <c r="F68" t="s">
        <v>10</v>
      </c>
      <c r="G68" t="str">
        <f>VLOOKUP(E68,Sheet1!$B$1:$D$41,2,FALSE)</f>
        <v>Simon</v>
      </c>
      <c r="H68" t="str">
        <f>VLOOKUP(F68,Sheet1!$B$1:$D$41,2,FALSE)</f>
        <v>Andy</v>
      </c>
      <c r="I68">
        <f>VLOOKUP(E68,Sheet1!$B$1:$D$41,3,FALSE)</f>
        <v>2438184</v>
      </c>
      <c r="J68">
        <f>VLOOKUP(F68,Sheet1!$B$1:$D$41,3,FALSE)</f>
        <v>882240</v>
      </c>
    </row>
    <row r="69" spans="1:10" x14ac:dyDescent="0.25">
      <c r="A69">
        <f>A65+1</f>
        <v>17</v>
      </c>
      <c r="B69" s="1" t="s">
        <v>11</v>
      </c>
      <c r="C69" s="1" t="s">
        <v>14</v>
      </c>
      <c r="D69" s="1" t="s">
        <v>39</v>
      </c>
      <c r="E69" t="s">
        <v>9</v>
      </c>
      <c r="F69" t="s">
        <v>75</v>
      </c>
      <c r="G69" t="str">
        <f>VLOOKUP(E69,Sheet1!$B$1:$D$41,2,FALSE)</f>
        <v>Walid</v>
      </c>
      <c r="H69" t="str">
        <f>VLOOKUP(F69,Sheet1!$B$1:$D$41,2,FALSE)</f>
        <v>Keith</v>
      </c>
      <c r="I69">
        <f>VLOOKUP(E69,Sheet1!$B$1:$D$41,3,FALSE)</f>
        <v>2752114</v>
      </c>
      <c r="J69">
        <f>VLOOKUP(F69,Sheet1!$B$1:$D$41,3,FALSE)</f>
        <v>2445169</v>
      </c>
    </row>
    <row r="70" spans="1:10" x14ac:dyDescent="0.25">
      <c r="A70">
        <f>A66+1</f>
        <v>18</v>
      </c>
      <c r="B70" s="1" t="s">
        <v>11</v>
      </c>
      <c r="C70" s="1" t="s">
        <v>14</v>
      </c>
      <c r="D70" s="1" t="s">
        <v>39</v>
      </c>
      <c r="E70" t="s">
        <v>75</v>
      </c>
      <c r="F70" t="s">
        <v>8</v>
      </c>
      <c r="G70" t="str">
        <f>VLOOKUP(E70,Sheet1!$B$1:$D$41,2,FALSE)</f>
        <v>Keith</v>
      </c>
      <c r="H70" t="str">
        <f>VLOOKUP(F70,Sheet1!$B$1:$D$41,2,FALSE)</f>
        <v>Gavin</v>
      </c>
      <c r="I70">
        <f>VLOOKUP(E70,Sheet1!$B$1:$D$41,3,FALSE)</f>
        <v>2445169</v>
      </c>
      <c r="J70">
        <f>VLOOKUP(F70,Sheet1!$B$1:$D$41,3,FALSE)</f>
        <v>2438353</v>
      </c>
    </row>
    <row r="71" spans="1:10" x14ac:dyDescent="0.25">
      <c r="A71">
        <f>A67+1</f>
        <v>18</v>
      </c>
      <c r="B71" s="1" t="s">
        <v>11</v>
      </c>
      <c r="C71" s="1" t="s">
        <v>14</v>
      </c>
      <c r="D71" s="1" t="s">
        <v>39</v>
      </c>
      <c r="E71" t="s">
        <v>10</v>
      </c>
      <c r="F71" t="s">
        <v>73</v>
      </c>
      <c r="G71" t="str">
        <f>VLOOKUP(E71,Sheet1!$B$1:$D$41,2,FALSE)</f>
        <v>Andy</v>
      </c>
      <c r="H71" t="str">
        <f>VLOOKUP(F71,Sheet1!$B$1:$D$41,2,FALSE)</f>
        <v>Steven</v>
      </c>
      <c r="I71">
        <f>VLOOKUP(E71,Sheet1!$B$1:$D$41,3,FALSE)</f>
        <v>882240</v>
      </c>
      <c r="J71">
        <f>VLOOKUP(F71,Sheet1!$B$1:$D$41,3,FALSE)</f>
        <v>2440073</v>
      </c>
    </row>
    <row r="72" spans="1:10" x14ac:dyDescent="0.25">
      <c r="A72">
        <f>A68+1</f>
        <v>18</v>
      </c>
      <c r="B72" s="1" t="s">
        <v>11</v>
      </c>
      <c r="C72" s="1" t="s">
        <v>14</v>
      </c>
      <c r="D72" s="1" t="s">
        <v>39</v>
      </c>
      <c r="E72" t="s">
        <v>6</v>
      </c>
      <c r="F72" t="s">
        <v>7</v>
      </c>
      <c r="G72" t="str">
        <f>VLOOKUP(E72,Sheet1!$B$1:$D$41,2,FALSE)</f>
        <v>Gordon</v>
      </c>
      <c r="H72" t="str">
        <f>VLOOKUP(F72,Sheet1!$B$1:$D$41,2,FALSE)</f>
        <v>Simon</v>
      </c>
      <c r="I72">
        <f>VLOOKUP(E72,Sheet1!$B$1:$D$41,3,FALSE)</f>
        <v>2441126</v>
      </c>
      <c r="J72">
        <f>VLOOKUP(F72,Sheet1!$B$1:$D$41,3,FALSE)</f>
        <v>2438184</v>
      </c>
    </row>
    <row r="73" spans="1:10" x14ac:dyDescent="0.25">
      <c r="A73">
        <f>A69+1</f>
        <v>18</v>
      </c>
      <c r="B73" s="1" t="s">
        <v>11</v>
      </c>
      <c r="C73" s="1" t="s">
        <v>14</v>
      </c>
      <c r="D73" s="1" t="s">
        <v>39</v>
      </c>
      <c r="E73" t="s">
        <v>9</v>
      </c>
      <c r="F73" t="s">
        <v>74</v>
      </c>
      <c r="G73" t="str">
        <f>VLOOKUP(E73,Sheet1!$B$1:$D$41,2,FALSE)</f>
        <v>Walid</v>
      </c>
      <c r="H73" t="str">
        <f>VLOOKUP(F73,Sheet1!$B$1:$D$41,2,FALSE)</f>
        <v>James</v>
      </c>
      <c r="I73">
        <f>VLOOKUP(E73,Sheet1!$B$1:$D$41,3,FALSE)</f>
        <v>2752114</v>
      </c>
      <c r="J73">
        <f>VLOOKUP(F73,Sheet1!$B$1:$D$41,3,FALSE)</f>
        <v>2439477</v>
      </c>
    </row>
    <row r="74" spans="1:10" x14ac:dyDescent="0.25">
      <c r="A74">
        <f>A70+1</f>
        <v>19</v>
      </c>
      <c r="B74" s="1" t="s">
        <v>11</v>
      </c>
      <c r="C74" s="1" t="s">
        <v>14</v>
      </c>
      <c r="D74" s="1" t="s">
        <v>39</v>
      </c>
      <c r="E74" t="s">
        <v>8</v>
      </c>
      <c r="F74" t="s">
        <v>10</v>
      </c>
      <c r="G74" t="str">
        <f>VLOOKUP(E74,Sheet1!$B$1:$D$41,2,FALSE)</f>
        <v>Gavin</v>
      </c>
      <c r="H74" t="str">
        <f>VLOOKUP(F74,Sheet1!$B$1:$D$41,2,FALSE)</f>
        <v>Andy</v>
      </c>
      <c r="I74">
        <f>VLOOKUP(E74,Sheet1!$B$1:$D$41,3,FALSE)</f>
        <v>2438353</v>
      </c>
      <c r="J74">
        <f>VLOOKUP(F74,Sheet1!$B$1:$D$41,3,FALSE)</f>
        <v>882240</v>
      </c>
    </row>
    <row r="75" spans="1:10" x14ac:dyDescent="0.25">
      <c r="A75">
        <f>A71+1</f>
        <v>19</v>
      </c>
      <c r="B75" s="1" t="s">
        <v>11</v>
      </c>
      <c r="C75" s="1" t="s">
        <v>14</v>
      </c>
      <c r="D75" s="1" t="s">
        <v>39</v>
      </c>
      <c r="E75" t="s">
        <v>74</v>
      </c>
      <c r="F75" t="s">
        <v>75</v>
      </c>
      <c r="G75" t="str">
        <f>VLOOKUP(E75,Sheet1!$B$1:$D$41,2,FALSE)</f>
        <v>James</v>
      </c>
      <c r="H75" t="str">
        <f>VLOOKUP(F75,Sheet1!$B$1:$D$41,2,FALSE)</f>
        <v>Keith</v>
      </c>
      <c r="I75">
        <f>VLOOKUP(E75,Sheet1!$B$1:$D$41,3,FALSE)</f>
        <v>2439477</v>
      </c>
      <c r="J75">
        <f>VLOOKUP(F75,Sheet1!$B$1:$D$41,3,FALSE)</f>
        <v>2445169</v>
      </c>
    </row>
    <row r="76" spans="1:10" x14ac:dyDescent="0.25">
      <c r="A76">
        <f>A72+1</f>
        <v>19</v>
      </c>
      <c r="B76" s="1" t="s">
        <v>11</v>
      </c>
      <c r="C76" s="1" t="s">
        <v>14</v>
      </c>
      <c r="D76" s="1" t="s">
        <v>39</v>
      </c>
      <c r="E76" t="s">
        <v>73</v>
      </c>
      <c r="F76" t="s">
        <v>6</v>
      </c>
      <c r="G76" t="str">
        <f>VLOOKUP(E76,Sheet1!$B$1:$D$41,2,FALSE)</f>
        <v>Steven</v>
      </c>
      <c r="H76" t="str">
        <f>VLOOKUP(F76,Sheet1!$B$1:$D$41,2,FALSE)</f>
        <v>Gordon</v>
      </c>
      <c r="I76">
        <f>VLOOKUP(E76,Sheet1!$B$1:$D$41,3,FALSE)</f>
        <v>2440073</v>
      </c>
      <c r="J76">
        <f>VLOOKUP(F76,Sheet1!$B$1:$D$41,3,FALSE)</f>
        <v>2441126</v>
      </c>
    </row>
    <row r="77" spans="1:10" x14ac:dyDescent="0.25">
      <c r="A77">
        <f>A73+1</f>
        <v>19</v>
      </c>
      <c r="B77" s="1" t="s">
        <v>11</v>
      </c>
      <c r="C77" s="1" t="s">
        <v>14</v>
      </c>
      <c r="D77" s="1" t="s">
        <v>39</v>
      </c>
      <c r="E77" t="s">
        <v>9</v>
      </c>
      <c r="F77" t="s">
        <v>7</v>
      </c>
      <c r="G77" t="str">
        <f>VLOOKUP(E77,Sheet1!$B$1:$D$41,2,FALSE)</f>
        <v>Walid</v>
      </c>
      <c r="H77" t="str">
        <f>VLOOKUP(F77,Sheet1!$B$1:$D$41,2,FALSE)</f>
        <v>Simon</v>
      </c>
      <c r="I77">
        <f>VLOOKUP(E77,Sheet1!$B$1:$D$41,3,FALSE)</f>
        <v>2752114</v>
      </c>
      <c r="J77">
        <f>VLOOKUP(F77,Sheet1!$B$1:$D$41,3,FALSE)</f>
        <v>2438184</v>
      </c>
    </row>
    <row r="78" spans="1:10" x14ac:dyDescent="0.25">
      <c r="A78">
        <f>A74+1</f>
        <v>20</v>
      </c>
      <c r="B78" s="1" t="s">
        <v>11</v>
      </c>
      <c r="C78" s="1" t="s">
        <v>14</v>
      </c>
      <c r="D78" s="1" t="s">
        <v>39</v>
      </c>
      <c r="E78" t="s">
        <v>7</v>
      </c>
      <c r="F78" t="s">
        <v>8</v>
      </c>
      <c r="G78" t="str">
        <f>VLOOKUP(E78,Sheet1!$B$1:$D$41,2,FALSE)</f>
        <v>Simon</v>
      </c>
      <c r="H78" t="str">
        <f>VLOOKUP(F78,Sheet1!$B$1:$D$41,2,FALSE)</f>
        <v>Gavin</v>
      </c>
      <c r="I78">
        <f>VLOOKUP(E78,Sheet1!$B$1:$D$41,3,FALSE)</f>
        <v>2438184</v>
      </c>
      <c r="J78">
        <f>VLOOKUP(F78,Sheet1!$B$1:$D$41,3,FALSE)</f>
        <v>2438353</v>
      </c>
    </row>
    <row r="79" spans="1:10" x14ac:dyDescent="0.25">
      <c r="A79">
        <f>A75+1</f>
        <v>20</v>
      </c>
      <c r="B79" s="1" t="s">
        <v>11</v>
      </c>
      <c r="C79" s="1" t="s">
        <v>14</v>
      </c>
      <c r="D79" s="1" t="s">
        <v>39</v>
      </c>
      <c r="E79" t="s">
        <v>10</v>
      </c>
      <c r="F79" t="s">
        <v>74</v>
      </c>
      <c r="G79" t="str">
        <f>VLOOKUP(E79,Sheet1!$B$1:$D$41,2,FALSE)</f>
        <v>Andy</v>
      </c>
      <c r="H79" t="str">
        <f>VLOOKUP(F79,Sheet1!$B$1:$D$41,2,FALSE)</f>
        <v>James</v>
      </c>
      <c r="I79">
        <f>VLOOKUP(E79,Sheet1!$B$1:$D$41,3,FALSE)</f>
        <v>882240</v>
      </c>
      <c r="J79">
        <f>VLOOKUP(F79,Sheet1!$B$1:$D$41,3,FALSE)</f>
        <v>2439477</v>
      </c>
    </row>
    <row r="80" spans="1:10" x14ac:dyDescent="0.25">
      <c r="A80">
        <f>A76+1</f>
        <v>20</v>
      </c>
      <c r="B80" s="1" t="s">
        <v>11</v>
      </c>
      <c r="C80" s="1" t="s">
        <v>14</v>
      </c>
      <c r="D80" s="1" t="s">
        <v>39</v>
      </c>
      <c r="E80" t="s">
        <v>75</v>
      </c>
      <c r="F80" t="s">
        <v>73</v>
      </c>
      <c r="G80" t="str">
        <f>VLOOKUP(E80,Sheet1!$B$1:$D$41,2,FALSE)</f>
        <v>Keith</v>
      </c>
      <c r="H80" t="str">
        <f>VLOOKUP(F80,Sheet1!$B$1:$D$41,2,FALSE)</f>
        <v>Steven</v>
      </c>
      <c r="I80">
        <f>VLOOKUP(E80,Sheet1!$B$1:$D$41,3,FALSE)</f>
        <v>2445169</v>
      </c>
      <c r="J80">
        <f>VLOOKUP(F80,Sheet1!$B$1:$D$41,3,FALSE)</f>
        <v>2440073</v>
      </c>
    </row>
    <row r="81" spans="1:10" x14ac:dyDescent="0.25">
      <c r="A81">
        <f>A77+1</f>
        <v>20</v>
      </c>
      <c r="B81" s="1" t="s">
        <v>11</v>
      </c>
      <c r="C81" s="1" t="s">
        <v>14</v>
      </c>
      <c r="D81" s="1" t="s">
        <v>39</v>
      </c>
      <c r="E81" t="s">
        <v>9</v>
      </c>
      <c r="F81" t="s">
        <v>6</v>
      </c>
      <c r="G81" t="str">
        <f>VLOOKUP(E81,Sheet1!$B$1:$D$41,2,FALSE)</f>
        <v>Walid</v>
      </c>
      <c r="H81" t="str">
        <f>VLOOKUP(F81,Sheet1!$B$1:$D$41,2,FALSE)</f>
        <v>Gordon</v>
      </c>
      <c r="I81">
        <f>VLOOKUP(E81,Sheet1!$B$1:$D$41,3,FALSE)</f>
        <v>2752114</v>
      </c>
      <c r="J81">
        <f>VLOOKUP(F81,Sheet1!$B$1:$D$41,3,FALSE)</f>
        <v>2441126</v>
      </c>
    </row>
    <row r="82" spans="1:10" x14ac:dyDescent="0.25">
      <c r="A82">
        <v>21</v>
      </c>
      <c r="B82" s="1" t="s">
        <v>11</v>
      </c>
      <c r="C82" t="s">
        <v>37</v>
      </c>
      <c r="D82" s="1" t="s">
        <v>40</v>
      </c>
      <c r="E82" t="s">
        <v>10</v>
      </c>
      <c r="F82" t="s">
        <v>73</v>
      </c>
      <c r="G82" t="str">
        <f>VLOOKUP(E82,Sheet1!$B$1:$D$41,2,FALSE)</f>
        <v>Andy</v>
      </c>
      <c r="H82" t="str">
        <f>VLOOKUP(F82,Sheet1!$B$1:$D$41,2,FALSE)</f>
        <v>Steven</v>
      </c>
      <c r="I82">
        <f>VLOOKUP(E82,Sheet1!$B$1:$D$41,3,FALSE)</f>
        <v>882240</v>
      </c>
      <c r="J82">
        <f>VLOOKUP(F82,Sheet1!$B$1:$D$41,3,FALSE)</f>
        <v>2440073</v>
      </c>
    </row>
    <row r="83" spans="1:10" x14ac:dyDescent="0.25">
      <c r="A83">
        <v>21</v>
      </c>
      <c r="B83" s="1" t="s">
        <v>11</v>
      </c>
      <c r="C83" t="s">
        <v>37</v>
      </c>
      <c r="D83" s="1" t="s">
        <v>40</v>
      </c>
      <c r="E83" t="s">
        <v>75</v>
      </c>
      <c r="F83" t="s">
        <v>8</v>
      </c>
      <c r="G83" t="str">
        <f>VLOOKUP(E83,Sheet1!$B$1:$D$41,2,FALSE)</f>
        <v>Keith</v>
      </c>
      <c r="H83" t="str">
        <f>VLOOKUP(F83,Sheet1!$B$1:$D$41,2,FALSE)</f>
        <v>Gavin</v>
      </c>
      <c r="I83">
        <f>VLOOKUP(E83,Sheet1!$B$1:$D$41,3,FALSE)</f>
        <v>2445169</v>
      </c>
      <c r="J83">
        <f>VLOOKUP(F83,Sheet1!$B$1:$D$41,3,FALSE)</f>
        <v>2438353</v>
      </c>
    </row>
    <row r="84" spans="1:10" x14ac:dyDescent="0.25">
      <c r="A84">
        <v>21</v>
      </c>
      <c r="B84" s="1" t="s">
        <v>11</v>
      </c>
      <c r="C84" t="s">
        <v>37</v>
      </c>
      <c r="D84" s="1" t="s">
        <v>40</v>
      </c>
      <c r="E84" t="s">
        <v>8</v>
      </c>
      <c r="F84" t="s">
        <v>75</v>
      </c>
      <c r="G84" t="str">
        <f>VLOOKUP(E84,Sheet1!$B$1:$D$41,2,FALSE)</f>
        <v>Gavin</v>
      </c>
      <c r="H84" t="str">
        <f>VLOOKUP(F84,Sheet1!$B$1:$D$41,2,FALSE)</f>
        <v>Keith</v>
      </c>
      <c r="I84">
        <f>VLOOKUP(E84,Sheet1!$B$1:$D$41,3,FALSE)</f>
        <v>2438353</v>
      </c>
      <c r="J84">
        <f>VLOOKUP(F84,Sheet1!$B$1:$D$41,3,FALSE)</f>
        <v>2445169</v>
      </c>
    </row>
    <row r="85" spans="1:10" x14ac:dyDescent="0.25">
      <c r="A85">
        <v>21</v>
      </c>
      <c r="B85" s="1" t="s">
        <v>11</v>
      </c>
      <c r="C85" t="s">
        <v>37</v>
      </c>
      <c r="D85" s="1" t="s">
        <v>40</v>
      </c>
      <c r="E85" t="s">
        <v>73</v>
      </c>
      <c r="F85" t="s">
        <v>10</v>
      </c>
      <c r="G85" t="str">
        <f>VLOOKUP(E85,Sheet1!$B$1:$D$41,2,FALSE)</f>
        <v>Steven</v>
      </c>
      <c r="H85" t="str">
        <f>VLOOKUP(F85,Sheet1!$B$1:$D$41,2,FALSE)</f>
        <v>Andy</v>
      </c>
      <c r="I85">
        <f>VLOOKUP(E85,Sheet1!$B$1:$D$41,3,FALSE)</f>
        <v>2440073</v>
      </c>
      <c r="J85">
        <f>VLOOKUP(F85,Sheet1!$B$1:$D$41,3,FALSE)</f>
        <v>882240</v>
      </c>
    </row>
    <row r="86" spans="1:10" x14ac:dyDescent="0.25">
      <c r="A86">
        <f>A82+1</f>
        <v>22</v>
      </c>
      <c r="B86" s="1" t="s">
        <v>11</v>
      </c>
      <c r="C86" s="1" t="s">
        <v>14</v>
      </c>
      <c r="D86" s="1" t="s">
        <v>39</v>
      </c>
      <c r="E86" t="s">
        <v>8</v>
      </c>
      <c r="F86" t="s">
        <v>9</v>
      </c>
      <c r="G86" t="str">
        <f>VLOOKUP(E86,Sheet1!$B$1:$D$41,2,FALSE)</f>
        <v>Gavin</v>
      </c>
      <c r="H86" t="str">
        <f>VLOOKUP(F86,Sheet1!$B$1:$D$41,2,FALSE)</f>
        <v>Walid</v>
      </c>
      <c r="I86">
        <f>VLOOKUP(E86,Sheet1!$B$1:$D$41,3,FALSE)</f>
        <v>2438353</v>
      </c>
      <c r="J86">
        <f>VLOOKUP(F86,Sheet1!$B$1:$D$41,3,FALSE)</f>
        <v>2752114</v>
      </c>
    </row>
    <row r="87" spans="1:10" x14ac:dyDescent="0.25">
      <c r="A87">
        <f>A83+1</f>
        <v>22</v>
      </c>
      <c r="B87" s="1" t="s">
        <v>11</v>
      </c>
      <c r="C87" s="1" t="s">
        <v>14</v>
      </c>
      <c r="D87" s="1" t="s">
        <v>39</v>
      </c>
      <c r="E87" t="s">
        <v>6</v>
      </c>
      <c r="F87" t="s">
        <v>74</v>
      </c>
      <c r="G87" t="str">
        <f>VLOOKUP(E87,Sheet1!$B$1:$D$41,2,FALSE)</f>
        <v>Gordon</v>
      </c>
      <c r="H87" t="str">
        <f>VLOOKUP(F87,Sheet1!$B$1:$D$41,2,FALSE)</f>
        <v>James</v>
      </c>
      <c r="I87">
        <f>VLOOKUP(E87,Sheet1!$B$1:$D$41,3,FALSE)</f>
        <v>2441126</v>
      </c>
      <c r="J87">
        <f>VLOOKUP(F87,Sheet1!$B$1:$D$41,3,FALSE)</f>
        <v>2439477</v>
      </c>
    </row>
    <row r="88" spans="1:10" x14ac:dyDescent="0.25">
      <c r="A88">
        <f>A84+1</f>
        <v>22</v>
      </c>
      <c r="B88" s="1" t="s">
        <v>11</v>
      </c>
      <c r="C88" s="1" t="s">
        <v>14</v>
      </c>
      <c r="D88" s="1" t="s">
        <v>39</v>
      </c>
      <c r="E88" t="s">
        <v>7</v>
      </c>
      <c r="F88" t="s">
        <v>73</v>
      </c>
      <c r="G88" t="str">
        <f>VLOOKUP(E88,Sheet1!$B$1:$D$41,2,FALSE)</f>
        <v>Simon</v>
      </c>
      <c r="H88" t="str">
        <f>VLOOKUP(F88,Sheet1!$B$1:$D$41,2,FALSE)</f>
        <v>Steven</v>
      </c>
      <c r="I88">
        <f>VLOOKUP(E88,Sheet1!$B$1:$D$41,3,FALSE)</f>
        <v>2438184</v>
      </c>
      <c r="J88">
        <f>VLOOKUP(F88,Sheet1!$B$1:$D$41,3,FALSE)</f>
        <v>2440073</v>
      </c>
    </row>
    <row r="89" spans="1:10" x14ac:dyDescent="0.25">
      <c r="A89">
        <f>A85+1</f>
        <v>22</v>
      </c>
      <c r="B89" s="1" t="s">
        <v>11</v>
      </c>
      <c r="C89" s="1" t="s">
        <v>14</v>
      </c>
      <c r="D89" s="1" t="s">
        <v>39</v>
      </c>
      <c r="E89" t="s">
        <v>75</v>
      </c>
      <c r="F89" t="s">
        <v>10</v>
      </c>
      <c r="G89" t="str">
        <f>VLOOKUP(E89,Sheet1!$B$1:$D$41,2,FALSE)</f>
        <v>Keith</v>
      </c>
      <c r="H89" t="str">
        <f>VLOOKUP(F89,Sheet1!$B$1:$D$41,2,FALSE)</f>
        <v>Andy</v>
      </c>
      <c r="I89">
        <f>VLOOKUP(E89,Sheet1!$B$1:$D$41,3,FALSE)</f>
        <v>2445169</v>
      </c>
      <c r="J89">
        <f>VLOOKUP(F89,Sheet1!$B$1:$D$41,3,FALSE)</f>
        <v>882240</v>
      </c>
    </row>
    <row r="90" spans="1:10" x14ac:dyDescent="0.25">
      <c r="A90">
        <v>22</v>
      </c>
      <c r="B90" s="1" t="s">
        <v>11</v>
      </c>
      <c r="C90" t="s">
        <v>37</v>
      </c>
      <c r="D90" s="1" t="s">
        <v>40</v>
      </c>
      <c r="E90" t="s">
        <v>9</v>
      </c>
      <c r="F90" t="s">
        <v>7</v>
      </c>
      <c r="G90" t="str">
        <f>VLOOKUP(E90,Sheet1!$B$1:$D$41,2,FALSE)</f>
        <v>Walid</v>
      </c>
      <c r="H90" t="str">
        <f>VLOOKUP(F90,Sheet1!$B$1:$D$41,2,FALSE)</f>
        <v>Simon</v>
      </c>
      <c r="I90">
        <f>VLOOKUP(E90,Sheet1!$B$1:$D$41,3,FALSE)</f>
        <v>2752114</v>
      </c>
      <c r="J90">
        <f>VLOOKUP(F90,Sheet1!$B$1:$D$41,3,FALSE)</f>
        <v>2438184</v>
      </c>
    </row>
    <row r="91" spans="1:10" x14ac:dyDescent="0.25">
      <c r="A91">
        <v>22</v>
      </c>
      <c r="B91" s="1" t="s">
        <v>11</v>
      </c>
      <c r="C91" t="s">
        <v>37</v>
      </c>
      <c r="D91" s="1" t="s">
        <v>40</v>
      </c>
      <c r="E91" t="s">
        <v>7</v>
      </c>
      <c r="F91" t="s">
        <v>9</v>
      </c>
      <c r="G91" t="str">
        <f>VLOOKUP(E91,Sheet1!$B$1:$D$41,2,FALSE)</f>
        <v>Simon</v>
      </c>
      <c r="H91" t="str">
        <f>VLOOKUP(F91,Sheet1!$B$1:$D$41,2,FALSE)</f>
        <v>Walid</v>
      </c>
      <c r="I91">
        <f>VLOOKUP(E91,Sheet1!$B$1:$D$41,3,FALSE)</f>
        <v>2438184</v>
      </c>
      <c r="J91">
        <f>VLOOKUP(F91,Sheet1!$B$1:$D$41,3,FALSE)</f>
        <v>2752114</v>
      </c>
    </row>
    <row r="92" spans="1:10" x14ac:dyDescent="0.25">
      <c r="A92">
        <v>22</v>
      </c>
      <c r="B92" s="1" t="s">
        <v>11</v>
      </c>
      <c r="C92" t="s">
        <v>37</v>
      </c>
      <c r="D92" s="1" t="s">
        <v>40</v>
      </c>
      <c r="E92" t="s">
        <v>6</v>
      </c>
      <c r="F92" t="s">
        <v>74</v>
      </c>
      <c r="G92" t="str">
        <f>VLOOKUP(E92,Sheet1!$B$1:$D$41,2,FALSE)</f>
        <v>Gordon</v>
      </c>
      <c r="H92" t="str">
        <f>VLOOKUP(F92,Sheet1!$B$1:$D$41,2,FALSE)</f>
        <v>James</v>
      </c>
      <c r="I92">
        <f>VLOOKUP(E92,Sheet1!$B$1:$D$41,3,FALSE)</f>
        <v>2441126</v>
      </c>
      <c r="J92">
        <f>VLOOKUP(F92,Sheet1!$B$1:$D$41,3,FALSE)</f>
        <v>2439477</v>
      </c>
    </row>
    <row r="93" spans="1:10" x14ac:dyDescent="0.25">
      <c r="A93">
        <v>22</v>
      </c>
      <c r="B93" s="1" t="s">
        <v>11</v>
      </c>
      <c r="C93" t="s">
        <v>37</v>
      </c>
      <c r="D93" s="1" t="s">
        <v>40</v>
      </c>
      <c r="E93" t="s">
        <v>74</v>
      </c>
      <c r="F93" t="s">
        <v>6</v>
      </c>
      <c r="G93" t="str">
        <f>VLOOKUP(E93,Sheet1!$B$1:$D$41,2,FALSE)</f>
        <v>James</v>
      </c>
      <c r="H93" t="str">
        <f>VLOOKUP(F93,Sheet1!$B$1:$D$41,2,FALSE)</f>
        <v>Gordon</v>
      </c>
      <c r="I93">
        <f>VLOOKUP(E93,Sheet1!$B$1:$D$41,3,FALSE)</f>
        <v>2439477</v>
      </c>
      <c r="J93">
        <f>VLOOKUP(F93,Sheet1!$B$1:$D$41,3,FALSE)</f>
        <v>2441126</v>
      </c>
    </row>
    <row r="94" spans="1:10" x14ac:dyDescent="0.25">
      <c r="A94">
        <f>A90+1</f>
        <v>23</v>
      </c>
      <c r="B94" s="1" t="s">
        <v>11</v>
      </c>
      <c r="C94" s="1" t="s">
        <v>14</v>
      </c>
      <c r="D94" s="1" t="s">
        <v>39</v>
      </c>
      <c r="E94" t="s">
        <v>6</v>
      </c>
      <c r="F94" t="s">
        <v>10</v>
      </c>
      <c r="G94" t="str">
        <f>VLOOKUP(E94,Sheet1!$B$1:$D$41,2,FALSE)</f>
        <v>Gordon</v>
      </c>
      <c r="H94" t="str">
        <f>VLOOKUP(F94,Sheet1!$B$1:$D$41,2,FALSE)</f>
        <v>Andy</v>
      </c>
      <c r="I94">
        <f>VLOOKUP(E94,Sheet1!$B$1:$D$41,3,FALSE)</f>
        <v>2441126</v>
      </c>
      <c r="J94">
        <f>VLOOKUP(F94,Sheet1!$B$1:$D$41,3,FALSE)</f>
        <v>882240</v>
      </c>
    </row>
    <row r="95" spans="1:10" x14ac:dyDescent="0.25">
      <c r="A95">
        <f>A91+1</f>
        <v>23</v>
      </c>
      <c r="B95" s="1" t="s">
        <v>11</v>
      </c>
      <c r="C95" s="1" t="s">
        <v>14</v>
      </c>
      <c r="D95" s="1" t="s">
        <v>39</v>
      </c>
      <c r="E95" t="s">
        <v>7</v>
      </c>
      <c r="F95" t="s">
        <v>75</v>
      </c>
      <c r="G95" t="str">
        <f>VLOOKUP(E95,Sheet1!$B$1:$D$41,2,FALSE)</f>
        <v>Simon</v>
      </c>
      <c r="H95" t="str">
        <f>VLOOKUP(F95,Sheet1!$B$1:$D$41,2,FALSE)</f>
        <v>Keith</v>
      </c>
      <c r="I95">
        <f>VLOOKUP(E95,Sheet1!$B$1:$D$41,3,FALSE)</f>
        <v>2438184</v>
      </c>
      <c r="J95">
        <f>VLOOKUP(F95,Sheet1!$B$1:$D$41,3,FALSE)</f>
        <v>2445169</v>
      </c>
    </row>
    <row r="96" spans="1:10" x14ac:dyDescent="0.25">
      <c r="A96">
        <f>A92+1</f>
        <v>23</v>
      </c>
      <c r="B96" s="1" t="s">
        <v>11</v>
      </c>
      <c r="C96" s="1" t="s">
        <v>14</v>
      </c>
      <c r="D96" s="1" t="s">
        <v>39</v>
      </c>
      <c r="E96" t="s">
        <v>8</v>
      </c>
      <c r="F96" t="s">
        <v>74</v>
      </c>
      <c r="G96" t="str">
        <f>VLOOKUP(E96,Sheet1!$B$1:$D$41,2,FALSE)</f>
        <v>Gavin</v>
      </c>
      <c r="H96" t="str">
        <f>VLOOKUP(F96,Sheet1!$B$1:$D$41,2,FALSE)</f>
        <v>James</v>
      </c>
      <c r="I96">
        <f>VLOOKUP(E96,Sheet1!$B$1:$D$41,3,FALSE)</f>
        <v>2438353</v>
      </c>
      <c r="J96">
        <f>VLOOKUP(F96,Sheet1!$B$1:$D$41,3,FALSE)</f>
        <v>2439477</v>
      </c>
    </row>
    <row r="97" spans="1:10" x14ac:dyDescent="0.25">
      <c r="A97">
        <f>A93+1</f>
        <v>23</v>
      </c>
      <c r="B97" s="1" t="s">
        <v>11</v>
      </c>
      <c r="C97" s="1" t="s">
        <v>14</v>
      </c>
      <c r="D97" s="1" t="s">
        <v>39</v>
      </c>
      <c r="E97" t="s">
        <v>9</v>
      </c>
      <c r="F97" t="s">
        <v>73</v>
      </c>
      <c r="G97" t="str">
        <f>VLOOKUP(E97,Sheet1!$B$1:$D$41,2,FALSE)</f>
        <v>Walid</v>
      </c>
      <c r="H97" t="str">
        <f>VLOOKUP(F97,Sheet1!$B$1:$D$41,2,FALSE)</f>
        <v>Steven</v>
      </c>
      <c r="I97">
        <f>VLOOKUP(E97,Sheet1!$B$1:$D$41,3,FALSE)</f>
        <v>2752114</v>
      </c>
      <c r="J97">
        <f>VLOOKUP(F97,Sheet1!$B$1:$D$41,3,FALSE)</f>
        <v>2440073</v>
      </c>
    </row>
    <row r="98" spans="1:10" x14ac:dyDescent="0.25">
      <c r="A98">
        <v>23</v>
      </c>
      <c r="B98" s="1" t="s">
        <v>11</v>
      </c>
      <c r="C98" t="s">
        <v>37</v>
      </c>
      <c r="D98" t="s">
        <v>47</v>
      </c>
      <c r="E98" t="s">
        <v>75</v>
      </c>
      <c r="F98" t="s">
        <v>73</v>
      </c>
      <c r="G98" t="str">
        <f>VLOOKUP(E98,Sheet1!$B$1:$D$41,2,FALSE)</f>
        <v>Keith</v>
      </c>
      <c r="H98" t="str">
        <f>VLOOKUP(F98,Sheet1!$B$1:$D$41,2,FALSE)</f>
        <v>Steven</v>
      </c>
      <c r="I98">
        <f>VLOOKUP(E98,Sheet1!$B$1:$D$41,3,FALSE)</f>
        <v>2445169</v>
      </c>
      <c r="J98">
        <f>VLOOKUP(F98,Sheet1!$B$1:$D$41,3,FALSE)</f>
        <v>2440073</v>
      </c>
    </row>
    <row r="99" spans="1:10" x14ac:dyDescent="0.25">
      <c r="A99">
        <v>23</v>
      </c>
      <c r="B99" s="1" t="s">
        <v>11</v>
      </c>
      <c r="C99" t="s">
        <v>37</v>
      </c>
      <c r="D99" t="s">
        <v>47</v>
      </c>
      <c r="E99" t="s">
        <v>73</v>
      </c>
      <c r="F99" t="s">
        <v>75</v>
      </c>
      <c r="G99" t="str">
        <f>VLOOKUP(E99,Sheet1!$B$1:$D$41,2,FALSE)</f>
        <v>Steven</v>
      </c>
      <c r="H99" t="str">
        <f>VLOOKUP(F99,Sheet1!$B$1:$D$41,2,FALSE)</f>
        <v>Keith</v>
      </c>
      <c r="I99">
        <f>VLOOKUP(E99,Sheet1!$B$1:$D$41,3,FALSE)</f>
        <v>2440073</v>
      </c>
      <c r="J99">
        <f>VLOOKUP(F99,Sheet1!$B$1:$D$41,3,FALSE)</f>
        <v>2445169</v>
      </c>
    </row>
    <row r="100" spans="1:10" x14ac:dyDescent="0.25">
      <c r="A100">
        <f>A96+1</f>
        <v>24</v>
      </c>
      <c r="B100" s="1" t="s">
        <v>11</v>
      </c>
      <c r="C100" s="1" t="s">
        <v>14</v>
      </c>
      <c r="D100" s="1" t="s">
        <v>39</v>
      </c>
      <c r="E100" t="s">
        <v>10</v>
      </c>
      <c r="F100" t="s">
        <v>9</v>
      </c>
      <c r="G100" t="str">
        <f>VLOOKUP(E100,Sheet1!$B$1:$D$41,2,FALSE)</f>
        <v>Andy</v>
      </c>
      <c r="H100" t="str">
        <f>VLOOKUP(F100,Sheet1!$B$1:$D$41,2,FALSE)</f>
        <v>Walid</v>
      </c>
      <c r="I100">
        <f>VLOOKUP(E100,Sheet1!$B$1:$D$41,3,FALSE)</f>
        <v>882240</v>
      </c>
      <c r="J100">
        <f>VLOOKUP(F100,Sheet1!$B$1:$D$41,3,FALSE)</f>
        <v>2752114</v>
      </c>
    </row>
    <row r="101" spans="1:10" x14ac:dyDescent="0.25">
      <c r="A101">
        <f>A97+1</f>
        <v>24</v>
      </c>
      <c r="B101" s="1" t="s">
        <v>11</v>
      </c>
      <c r="C101" s="1" t="s">
        <v>14</v>
      </c>
      <c r="D101" s="1" t="s">
        <v>39</v>
      </c>
      <c r="E101" t="s">
        <v>73</v>
      </c>
      <c r="F101" t="s">
        <v>8</v>
      </c>
      <c r="G101" t="str">
        <f>VLOOKUP(E101,Sheet1!$B$1:$D$41,2,FALSE)</f>
        <v>Steven</v>
      </c>
      <c r="H101" t="str">
        <f>VLOOKUP(F101,Sheet1!$B$1:$D$41,2,FALSE)</f>
        <v>Gavin</v>
      </c>
      <c r="I101">
        <f>VLOOKUP(E101,Sheet1!$B$1:$D$41,3,FALSE)</f>
        <v>2440073</v>
      </c>
      <c r="J101">
        <f>VLOOKUP(F101,Sheet1!$B$1:$D$41,3,FALSE)</f>
        <v>2438353</v>
      </c>
    </row>
    <row r="102" spans="1:10" x14ac:dyDescent="0.25">
      <c r="A102">
        <f>A98+1</f>
        <v>24</v>
      </c>
      <c r="B102" s="1" t="s">
        <v>11</v>
      </c>
      <c r="C102" s="1" t="s">
        <v>14</v>
      </c>
      <c r="D102" s="1" t="s">
        <v>39</v>
      </c>
      <c r="E102" t="s">
        <v>74</v>
      </c>
      <c r="F102" t="s">
        <v>7</v>
      </c>
      <c r="G102" t="str">
        <f>VLOOKUP(E102,Sheet1!$B$1:$D$41,2,FALSE)</f>
        <v>James</v>
      </c>
      <c r="H102" t="str">
        <f>VLOOKUP(F102,Sheet1!$B$1:$D$41,2,FALSE)</f>
        <v>Simon</v>
      </c>
      <c r="I102">
        <f>VLOOKUP(E102,Sheet1!$B$1:$D$41,3,FALSE)</f>
        <v>2439477</v>
      </c>
      <c r="J102">
        <f>VLOOKUP(F102,Sheet1!$B$1:$D$41,3,FALSE)</f>
        <v>2438184</v>
      </c>
    </row>
    <row r="103" spans="1:10" x14ac:dyDescent="0.25">
      <c r="A103">
        <f>A99+1</f>
        <v>24</v>
      </c>
      <c r="B103" s="1" t="s">
        <v>11</v>
      </c>
      <c r="C103" s="1" t="s">
        <v>14</v>
      </c>
      <c r="D103" s="1" t="s">
        <v>39</v>
      </c>
      <c r="E103" t="s">
        <v>75</v>
      </c>
      <c r="F103" t="s">
        <v>6</v>
      </c>
      <c r="G103" t="str">
        <f>VLOOKUP(E103,Sheet1!$B$1:$D$41,2,FALSE)</f>
        <v>Keith</v>
      </c>
      <c r="H103" t="str">
        <f>VLOOKUP(F103,Sheet1!$B$1:$D$41,2,FALSE)</f>
        <v>Gordon</v>
      </c>
      <c r="I103">
        <f>VLOOKUP(E103,Sheet1!$B$1:$D$41,3,FALSE)</f>
        <v>2445169</v>
      </c>
      <c r="J103">
        <f>VLOOKUP(F103,Sheet1!$B$1:$D$41,3,FALSE)</f>
        <v>2441126</v>
      </c>
    </row>
    <row r="104" spans="1:10" x14ac:dyDescent="0.25">
      <c r="A104">
        <v>24</v>
      </c>
      <c r="B104" s="1" t="s">
        <v>11</v>
      </c>
      <c r="C104" t="s">
        <v>37</v>
      </c>
      <c r="D104" t="s">
        <v>47</v>
      </c>
      <c r="E104" t="s">
        <v>9</v>
      </c>
      <c r="F104" t="s">
        <v>6</v>
      </c>
      <c r="G104" t="str">
        <f>VLOOKUP(E104,Sheet1!$B$1:$D$41,2,FALSE)</f>
        <v>Walid</v>
      </c>
      <c r="H104" t="str">
        <f>VLOOKUP(F104,Sheet1!$B$1:$D$41,2,FALSE)</f>
        <v>Gordon</v>
      </c>
      <c r="I104">
        <f>VLOOKUP(E104,Sheet1!$B$1:$D$41,3,FALSE)</f>
        <v>2752114</v>
      </c>
      <c r="J104">
        <f>VLOOKUP(F104,Sheet1!$B$1:$D$41,3,FALSE)</f>
        <v>2441126</v>
      </c>
    </row>
    <row r="105" spans="1:10" x14ac:dyDescent="0.25">
      <c r="A105">
        <v>24</v>
      </c>
      <c r="B105" s="1" t="s">
        <v>11</v>
      </c>
      <c r="C105" t="s">
        <v>37</v>
      </c>
      <c r="D105" t="s">
        <v>47</v>
      </c>
      <c r="E105" t="s">
        <v>6</v>
      </c>
      <c r="F105" t="s">
        <v>9</v>
      </c>
      <c r="G105" t="str">
        <f>VLOOKUP(E105,Sheet1!$B$1:$D$41,2,FALSE)</f>
        <v>Gordon</v>
      </c>
      <c r="H105" t="str">
        <f>VLOOKUP(F105,Sheet1!$B$1:$D$41,2,FALSE)</f>
        <v>Walid</v>
      </c>
      <c r="I105">
        <f>VLOOKUP(E105,Sheet1!$B$1:$D$41,3,FALSE)</f>
        <v>2441126</v>
      </c>
      <c r="J105">
        <f>VLOOKUP(F105,Sheet1!$B$1:$D$41,3,FALSE)</f>
        <v>2752114</v>
      </c>
    </row>
    <row r="106" spans="1:10" x14ac:dyDescent="0.25">
      <c r="A106">
        <f>A102+1</f>
        <v>25</v>
      </c>
      <c r="B106" s="1" t="s">
        <v>11</v>
      </c>
      <c r="C106" s="1" t="s">
        <v>14</v>
      </c>
      <c r="D106" s="1" t="s">
        <v>39</v>
      </c>
      <c r="E106" t="s">
        <v>8</v>
      </c>
      <c r="F106" t="s">
        <v>6</v>
      </c>
      <c r="G106" t="str">
        <f>VLOOKUP(E106,Sheet1!$B$1:$D$41,2,FALSE)</f>
        <v>Gavin</v>
      </c>
      <c r="H106" t="str">
        <f>VLOOKUP(F106,Sheet1!$B$1:$D$41,2,FALSE)</f>
        <v>Gordon</v>
      </c>
      <c r="I106">
        <f>VLOOKUP(E106,Sheet1!$B$1:$D$41,3,FALSE)</f>
        <v>2438353</v>
      </c>
      <c r="J106">
        <f>VLOOKUP(F106,Sheet1!$B$1:$D$41,3,FALSE)</f>
        <v>2441126</v>
      </c>
    </row>
    <row r="107" spans="1:10" x14ac:dyDescent="0.25">
      <c r="A107">
        <f>A103+1</f>
        <v>25</v>
      </c>
      <c r="B107" s="1" t="s">
        <v>11</v>
      </c>
      <c r="C107" s="1" t="s">
        <v>14</v>
      </c>
      <c r="D107" s="1" t="s">
        <v>39</v>
      </c>
      <c r="E107" t="s">
        <v>73</v>
      </c>
      <c r="F107" t="s">
        <v>74</v>
      </c>
      <c r="G107" t="str">
        <f>VLOOKUP(E107,Sheet1!$B$1:$D$41,2,FALSE)</f>
        <v>Steven</v>
      </c>
      <c r="H107" t="str">
        <f>VLOOKUP(F107,Sheet1!$B$1:$D$41,2,FALSE)</f>
        <v>James</v>
      </c>
      <c r="I107">
        <f>VLOOKUP(E107,Sheet1!$B$1:$D$41,3,FALSE)</f>
        <v>2440073</v>
      </c>
      <c r="J107">
        <f>VLOOKUP(F107,Sheet1!$B$1:$D$41,3,FALSE)</f>
        <v>2439477</v>
      </c>
    </row>
    <row r="108" spans="1:10" x14ac:dyDescent="0.25">
      <c r="A108">
        <f>A104+1</f>
        <v>25</v>
      </c>
      <c r="B108" s="1" t="s">
        <v>11</v>
      </c>
      <c r="C108" s="1" t="s">
        <v>14</v>
      </c>
      <c r="D108" s="1" t="s">
        <v>39</v>
      </c>
      <c r="E108" t="s">
        <v>7</v>
      </c>
      <c r="F108" t="s">
        <v>10</v>
      </c>
      <c r="G108" t="str">
        <f>VLOOKUP(E108,Sheet1!$B$1:$D$41,2,FALSE)</f>
        <v>Simon</v>
      </c>
      <c r="H108" t="str">
        <f>VLOOKUP(F108,Sheet1!$B$1:$D$41,2,FALSE)</f>
        <v>Andy</v>
      </c>
      <c r="I108">
        <f>VLOOKUP(E108,Sheet1!$B$1:$D$41,3,FALSE)</f>
        <v>2438184</v>
      </c>
      <c r="J108">
        <f>VLOOKUP(F108,Sheet1!$B$1:$D$41,3,FALSE)</f>
        <v>882240</v>
      </c>
    </row>
    <row r="109" spans="1:10" x14ac:dyDescent="0.25">
      <c r="A109">
        <f>A105+1</f>
        <v>25</v>
      </c>
      <c r="B109" s="1" t="s">
        <v>11</v>
      </c>
      <c r="C109" s="1" t="s">
        <v>14</v>
      </c>
      <c r="D109" s="1" t="s">
        <v>39</v>
      </c>
      <c r="E109" t="s">
        <v>9</v>
      </c>
      <c r="F109" t="s">
        <v>75</v>
      </c>
      <c r="G109" t="str">
        <f>VLOOKUP(E109,Sheet1!$B$1:$D$41,2,FALSE)</f>
        <v>Walid</v>
      </c>
      <c r="H109" t="str">
        <f>VLOOKUP(F109,Sheet1!$B$1:$D$41,2,FALSE)</f>
        <v>Keith</v>
      </c>
      <c r="I109">
        <f>VLOOKUP(E109,Sheet1!$B$1:$D$41,3,FALSE)</f>
        <v>2752114</v>
      </c>
      <c r="J109">
        <f>VLOOKUP(F109,Sheet1!$B$1:$D$41,3,FALSE)</f>
        <v>2445169</v>
      </c>
    </row>
    <row r="110" spans="1:10" x14ac:dyDescent="0.25">
      <c r="A110">
        <v>25</v>
      </c>
      <c r="B110" s="1" t="s">
        <v>11</v>
      </c>
      <c r="C110" t="s">
        <v>37</v>
      </c>
      <c r="D110" t="s">
        <v>48</v>
      </c>
      <c r="E110" t="s">
        <v>9</v>
      </c>
      <c r="F110" t="s">
        <v>75</v>
      </c>
      <c r="G110" t="str">
        <f>VLOOKUP(E110,Sheet1!$B$1:$D$41,2,FALSE)</f>
        <v>Walid</v>
      </c>
      <c r="H110" t="str">
        <f>VLOOKUP(F110,Sheet1!$B$1:$D$41,2,FALSE)</f>
        <v>Keith</v>
      </c>
      <c r="I110">
        <f>VLOOKUP(E110,Sheet1!$B$1:$D$41,3,FALSE)</f>
        <v>2752114</v>
      </c>
      <c r="J110">
        <f>VLOOKUP(F110,Sheet1!$B$1:$D$41,3,FALSE)</f>
        <v>2445169</v>
      </c>
    </row>
    <row r="111" spans="1:10" x14ac:dyDescent="0.25">
      <c r="A111">
        <v>25</v>
      </c>
      <c r="B111" s="1" t="s">
        <v>11</v>
      </c>
      <c r="C111" t="s">
        <v>37</v>
      </c>
      <c r="D111" t="s">
        <v>48</v>
      </c>
      <c r="E111" t="s">
        <v>75</v>
      </c>
      <c r="F111" t="s">
        <v>9</v>
      </c>
      <c r="G111" t="str">
        <f>VLOOKUP(E111,Sheet1!$B$1:$D$41,2,FALSE)</f>
        <v>Keith</v>
      </c>
      <c r="H111" t="str">
        <f>VLOOKUP(F111,Sheet1!$B$1:$D$41,2,FALSE)</f>
        <v>Walid</v>
      </c>
      <c r="I111">
        <f>VLOOKUP(E111,Sheet1!$B$1:$D$41,3,FALSE)</f>
        <v>2445169</v>
      </c>
      <c r="J111">
        <f>VLOOKUP(F111,Sheet1!$B$1:$D$41,3,FALSE)</f>
        <v>2752114</v>
      </c>
    </row>
    <row r="112" spans="1:10" x14ac:dyDescent="0.25">
      <c r="A112">
        <f>A108+1</f>
        <v>26</v>
      </c>
      <c r="B112" s="1" t="s">
        <v>11</v>
      </c>
      <c r="C112" s="1" t="s">
        <v>14</v>
      </c>
      <c r="D112" s="1" t="s">
        <v>39</v>
      </c>
      <c r="E112" t="s">
        <v>75</v>
      </c>
      <c r="F112" t="s">
        <v>8</v>
      </c>
      <c r="G112" t="str">
        <f>VLOOKUP(E112,Sheet1!$B$1:$D$41,2,FALSE)</f>
        <v>Keith</v>
      </c>
      <c r="H112" t="str">
        <f>VLOOKUP(F112,Sheet1!$B$1:$D$41,2,FALSE)</f>
        <v>Gavin</v>
      </c>
      <c r="I112">
        <f>VLOOKUP(E112,Sheet1!$B$1:$D$41,3,FALSE)</f>
        <v>2445169</v>
      </c>
      <c r="J112">
        <f>VLOOKUP(F112,Sheet1!$B$1:$D$41,3,FALSE)</f>
        <v>2438353</v>
      </c>
    </row>
    <row r="113" spans="1:10" x14ac:dyDescent="0.25">
      <c r="A113">
        <f>A109+1</f>
        <v>26</v>
      </c>
      <c r="B113" s="1" t="s">
        <v>11</v>
      </c>
      <c r="C113" s="1" t="s">
        <v>14</v>
      </c>
      <c r="D113" s="1" t="s">
        <v>39</v>
      </c>
      <c r="E113" t="s">
        <v>10</v>
      </c>
      <c r="F113" t="s">
        <v>73</v>
      </c>
      <c r="G113" t="str">
        <f>VLOOKUP(E113,Sheet1!$B$1:$D$41,2,FALSE)</f>
        <v>Andy</v>
      </c>
      <c r="H113" t="str">
        <f>VLOOKUP(F113,Sheet1!$B$1:$D$41,2,FALSE)</f>
        <v>Steven</v>
      </c>
      <c r="I113">
        <f>VLOOKUP(E113,Sheet1!$B$1:$D$41,3,FALSE)</f>
        <v>882240</v>
      </c>
      <c r="J113">
        <f>VLOOKUP(F113,Sheet1!$B$1:$D$41,3,FALSE)</f>
        <v>2440073</v>
      </c>
    </row>
    <row r="114" spans="1:10" x14ac:dyDescent="0.25">
      <c r="A114">
        <f>A110+1</f>
        <v>26</v>
      </c>
      <c r="B114" s="1" t="s">
        <v>11</v>
      </c>
      <c r="C114" s="1" t="s">
        <v>14</v>
      </c>
      <c r="D114" s="1" t="s">
        <v>39</v>
      </c>
      <c r="E114" t="s">
        <v>6</v>
      </c>
      <c r="F114" t="s">
        <v>7</v>
      </c>
      <c r="G114" t="str">
        <f>VLOOKUP(E114,Sheet1!$B$1:$D$41,2,FALSE)</f>
        <v>Gordon</v>
      </c>
      <c r="H114" t="str">
        <f>VLOOKUP(F114,Sheet1!$B$1:$D$41,2,FALSE)</f>
        <v>Simon</v>
      </c>
      <c r="I114">
        <f>VLOOKUP(E114,Sheet1!$B$1:$D$41,3,FALSE)</f>
        <v>2441126</v>
      </c>
      <c r="J114">
        <f>VLOOKUP(F114,Sheet1!$B$1:$D$41,3,FALSE)</f>
        <v>2438184</v>
      </c>
    </row>
    <row r="115" spans="1:10" x14ac:dyDescent="0.25">
      <c r="A115">
        <f>A111+1</f>
        <v>26</v>
      </c>
      <c r="B115" s="1" t="s">
        <v>11</v>
      </c>
      <c r="C115" s="1" t="s">
        <v>14</v>
      </c>
      <c r="D115" s="1" t="s">
        <v>39</v>
      </c>
      <c r="E115" t="s">
        <v>9</v>
      </c>
      <c r="F115" t="s">
        <v>74</v>
      </c>
      <c r="G115" t="str">
        <f>VLOOKUP(E115,Sheet1!$B$1:$D$41,2,FALSE)</f>
        <v>Walid</v>
      </c>
      <c r="H115" t="str">
        <f>VLOOKUP(F115,Sheet1!$B$1:$D$41,2,FALSE)</f>
        <v>James</v>
      </c>
      <c r="I115">
        <f>VLOOKUP(E115,Sheet1!$B$1:$D$41,3,FALSE)</f>
        <v>2752114</v>
      </c>
      <c r="J115">
        <f>VLOOKUP(F115,Sheet1!$B$1:$D$41,3,FALSE)</f>
        <v>2439477</v>
      </c>
    </row>
    <row r="116" spans="1:10" x14ac:dyDescent="0.25">
      <c r="A116">
        <f>A112+1</f>
        <v>27</v>
      </c>
      <c r="B116" s="1" t="s">
        <v>11</v>
      </c>
      <c r="C116" s="1" t="s">
        <v>14</v>
      </c>
      <c r="D116" s="1" t="s">
        <v>39</v>
      </c>
      <c r="E116" t="s">
        <v>8</v>
      </c>
      <c r="F116" t="s">
        <v>10</v>
      </c>
      <c r="G116" t="str">
        <f>VLOOKUP(E116,Sheet1!$B$1:$D$41,2,FALSE)</f>
        <v>Gavin</v>
      </c>
      <c r="H116" t="str">
        <f>VLOOKUP(F116,Sheet1!$B$1:$D$41,2,FALSE)</f>
        <v>Andy</v>
      </c>
      <c r="I116">
        <f>VLOOKUP(E116,Sheet1!$B$1:$D$41,3,FALSE)</f>
        <v>2438353</v>
      </c>
      <c r="J116">
        <f>VLOOKUP(F116,Sheet1!$B$1:$D$41,3,FALSE)</f>
        <v>882240</v>
      </c>
    </row>
    <row r="117" spans="1:10" x14ac:dyDescent="0.25">
      <c r="A117">
        <f>A113+1</f>
        <v>27</v>
      </c>
      <c r="B117" s="1" t="s">
        <v>11</v>
      </c>
      <c r="C117" s="1" t="s">
        <v>14</v>
      </c>
      <c r="D117" s="1" t="s">
        <v>39</v>
      </c>
      <c r="E117" t="s">
        <v>74</v>
      </c>
      <c r="F117" t="s">
        <v>75</v>
      </c>
      <c r="G117" t="str">
        <f>VLOOKUP(E117,Sheet1!$B$1:$D$41,2,FALSE)</f>
        <v>James</v>
      </c>
      <c r="H117" t="str">
        <f>VLOOKUP(F117,Sheet1!$B$1:$D$41,2,FALSE)</f>
        <v>Keith</v>
      </c>
      <c r="I117">
        <f>VLOOKUP(E117,Sheet1!$B$1:$D$41,3,FALSE)</f>
        <v>2439477</v>
      </c>
      <c r="J117">
        <f>VLOOKUP(F117,Sheet1!$B$1:$D$41,3,FALSE)</f>
        <v>2445169</v>
      </c>
    </row>
    <row r="118" spans="1:10" x14ac:dyDescent="0.25">
      <c r="A118">
        <f>A114+1</f>
        <v>27</v>
      </c>
      <c r="B118" s="1" t="s">
        <v>11</v>
      </c>
      <c r="C118" s="1" t="s">
        <v>14</v>
      </c>
      <c r="D118" s="1" t="s">
        <v>39</v>
      </c>
      <c r="E118" t="s">
        <v>73</v>
      </c>
      <c r="F118" t="s">
        <v>6</v>
      </c>
      <c r="G118" t="str">
        <f>VLOOKUP(E118,Sheet1!$B$1:$D$41,2,FALSE)</f>
        <v>Steven</v>
      </c>
      <c r="H118" t="str">
        <f>VLOOKUP(F118,Sheet1!$B$1:$D$41,2,FALSE)</f>
        <v>Gordon</v>
      </c>
      <c r="I118">
        <f>VLOOKUP(E118,Sheet1!$B$1:$D$41,3,FALSE)</f>
        <v>2440073</v>
      </c>
      <c r="J118">
        <f>VLOOKUP(F118,Sheet1!$B$1:$D$41,3,FALSE)</f>
        <v>2441126</v>
      </c>
    </row>
    <row r="119" spans="1:10" x14ac:dyDescent="0.25">
      <c r="A119">
        <f>A115+1</f>
        <v>27</v>
      </c>
      <c r="B119" s="1" t="s">
        <v>11</v>
      </c>
      <c r="C119" s="1" t="s">
        <v>14</v>
      </c>
      <c r="D119" s="1" t="s">
        <v>39</v>
      </c>
      <c r="E119" t="s">
        <v>9</v>
      </c>
      <c r="F119" t="s">
        <v>7</v>
      </c>
      <c r="G119" t="str">
        <f>VLOOKUP(E119,Sheet1!$B$1:$D$41,2,FALSE)</f>
        <v>Walid</v>
      </c>
      <c r="H119" t="str">
        <f>VLOOKUP(F119,Sheet1!$B$1:$D$41,2,FALSE)</f>
        <v>Simon</v>
      </c>
      <c r="I119">
        <f>VLOOKUP(E119,Sheet1!$B$1:$D$41,3,FALSE)</f>
        <v>2752114</v>
      </c>
      <c r="J119">
        <f>VLOOKUP(F119,Sheet1!$B$1:$D$41,3,FALSE)</f>
        <v>2438184</v>
      </c>
    </row>
    <row r="120" spans="1:10" x14ac:dyDescent="0.25">
      <c r="A120">
        <f>A116+1</f>
        <v>28</v>
      </c>
      <c r="B120" s="1" t="s">
        <v>11</v>
      </c>
      <c r="C120" s="1" t="s">
        <v>14</v>
      </c>
      <c r="D120" s="1" t="s">
        <v>39</v>
      </c>
      <c r="E120" t="s">
        <v>7</v>
      </c>
      <c r="F120" t="s">
        <v>8</v>
      </c>
      <c r="G120" t="str">
        <f>VLOOKUP(E120,Sheet1!$B$1:$D$41,2,FALSE)</f>
        <v>Simon</v>
      </c>
      <c r="H120" t="str">
        <f>VLOOKUP(F120,Sheet1!$B$1:$D$41,2,FALSE)</f>
        <v>Gavin</v>
      </c>
      <c r="I120">
        <f>VLOOKUP(E120,Sheet1!$B$1:$D$41,3,FALSE)</f>
        <v>2438184</v>
      </c>
      <c r="J120">
        <f>VLOOKUP(F120,Sheet1!$B$1:$D$41,3,FALSE)</f>
        <v>2438353</v>
      </c>
    </row>
    <row r="121" spans="1:10" x14ac:dyDescent="0.25">
      <c r="A121">
        <f>A117+1</f>
        <v>28</v>
      </c>
      <c r="B121" s="1" t="s">
        <v>11</v>
      </c>
      <c r="C121" s="1" t="s">
        <v>14</v>
      </c>
      <c r="D121" s="1" t="s">
        <v>39</v>
      </c>
      <c r="E121" t="s">
        <v>10</v>
      </c>
      <c r="F121" t="s">
        <v>74</v>
      </c>
      <c r="G121" t="str">
        <f>VLOOKUP(E121,Sheet1!$B$1:$D$41,2,FALSE)</f>
        <v>Andy</v>
      </c>
      <c r="H121" t="str">
        <f>VLOOKUP(F121,Sheet1!$B$1:$D$41,2,FALSE)</f>
        <v>James</v>
      </c>
      <c r="I121">
        <f>VLOOKUP(E121,Sheet1!$B$1:$D$41,3,FALSE)</f>
        <v>882240</v>
      </c>
      <c r="J121">
        <f>VLOOKUP(F121,Sheet1!$B$1:$D$41,3,FALSE)</f>
        <v>2439477</v>
      </c>
    </row>
    <row r="122" spans="1:10" x14ac:dyDescent="0.25">
      <c r="A122">
        <f>A118+1</f>
        <v>28</v>
      </c>
      <c r="B122" s="1" t="s">
        <v>11</v>
      </c>
      <c r="C122" s="1" t="s">
        <v>14</v>
      </c>
      <c r="D122" s="1" t="s">
        <v>39</v>
      </c>
      <c r="E122" t="s">
        <v>75</v>
      </c>
      <c r="F122" t="s">
        <v>73</v>
      </c>
      <c r="G122" t="str">
        <f>VLOOKUP(E122,Sheet1!$B$1:$D$41,2,FALSE)</f>
        <v>Keith</v>
      </c>
      <c r="H122" t="str">
        <f>VLOOKUP(F122,Sheet1!$B$1:$D$41,2,FALSE)</f>
        <v>Steven</v>
      </c>
      <c r="I122">
        <f>VLOOKUP(E122,Sheet1!$B$1:$D$41,3,FALSE)</f>
        <v>2445169</v>
      </c>
      <c r="J122">
        <f>VLOOKUP(F122,Sheet1!$B$1:$D$41,3,FALSE)</f>
        <v>2440073</v>
      </c>
    </row>
    <row r="123" spans="1:10" x14ac:dyDescent="0.25">
      <c r="A123">
        <f>A119+1</f>
        <v>28</v>
      </c>
      <c r="B123" s="1" t="s">
        <v>11</v>
      </c>
      <c r="C123" s="1" t="s">
        <v>14</v>
      </c>
      <c r="D123" s="1" t="s">
        <v>39</v>
      </c>
      <c r="E123" t="s">
        <v>9</v>
      </c>
      <c r="F123" t="s">
        <v>6</v>
      </c>
      <c r="G123" t="str">
        <f>VLOOKUP(E123,Sheet1!$B$1:$D$41,2,FALSE)</f>
        <v>Walid</v>
      </c>
      <c r="H123" t="str">
        <f>VLOOKUP(F123,Sheet1!$B$1:$D$41,2,FALSE)</f>
        <v>Gordon</v>
      </c>
      <c r="I123">
        <f>VLOOKUP(E123,Sheet1!$B$1:$D$41,3,FALSE)</f>
        <v>2752114</v>
      </c>
      <c r="J123">
        <f>VLOOKUP(F123,Sheet1!$B$1:$D$41,3,FALSE)</f>
        <v>2441126</v>
      </c>
    </row>
    <row r="124" spans="1:10" x14ac:dyDescent="0.25">
      <c r="A124">
        <f>A120+1</f>
        <v>29</v>
      </c>
      <c r="B124" s="1" t="s">
        <v>11</v>
      </c>
      <c r="C124" s="1" t="s">
        <v>14</v>
      </c>
      <c r="D124" s="1" t="s">
        <v>39</v>
      </c>
      <c r="E124" t="s">
        <v>8</v>
      </c>
      <c r="F124" t="s">
        <v>9</v>
      </c>
      <c r="G124" t="str">
        <f>VLOOKUP(E124,Sheet1!$B$1:$D$41,2,FALSE)</f>
        <v>Gavin</v>
      </c>
      <c r="H124" t="str">
        <f>VLOOKUP(F124,Sheet1!$B$1:$D$41,2,FALSE)</f>
        <v>Walid</v>
      </c>
      <c r="I124">
        <f>VLOOKUP(E124,Sheet1!$B$1:$D$41,3,FALSE)</f>
        <v>2438353</v>
      </c>
      <c r="J124">
        <f>VLOOKUP(F124,Sheet1!$B$1:$D$41,3,FALSE)</f>
        <v>2752114</v>
      </c>
    </row>
    <row r="125" spans="1:10" x14ac:dyDescent="0.25">
      <c r="A125">
        <f>A121+1</f>
        <v>29</v>
      </c>
      <c r="B125" s="1" t="s">
        <v>11</v>
      </c>
      <c r="C125" s="1" t="s">
        <v>14</v>
      </c>
      <c r="D125" s="1" t="s">
        <v>39</v>
      </c>
      <c r="E125" t="s">
        <v>6</v>
      </c>
      <c r="F125" t="s">
        <v>74</v>
      </c>
      <c r="G125" t="str">
        <f>VLOOKUP(E125,Sheet1!$B$1:$D$41,2,FALSE)</f>
        <v>Gordon</v>
      </c>
      <c r="H125" t="str">
        <f>VLOOKUP(F125,Sheet1!$B$1:$D$41,2,FALSE)</f>
        <v>James</v>
      </c>
      <c r="I125">
        <f>VLOOKUP(E125,Sheet1!$B$1:$D$41,3,FALSE)</f>
        <v>2441126</v>
      </c>
      <c r="J125">
        <f>VLOOKUP(F125,Sheet1!$B$1:$D$41,3,FALSE)</f>
        <v>2439477</v>
      </c>
    </row>
    <row r="126" spans="1:10" x14ac:dyDescent="0.25">
      <c r="A126">
        <f>A122+1</f>
        <v>29</v>
      </c>
      <c r="B126" s="1" t="s">
        <v>11</v>
      </c>
      <c r="C126" s="1" t="s">
        <v>14</v>
      </c>
      <c r="D126" s="1" t="s">
        <v>39</v>
      </c>
      <c r="E126" t="s">
        <v>7</v>
      </c>
      <c r="F126" t="s">
        <v>73</v>
      </c>
      <c r="G126" t="str">
        <f>VLOOKUP(E126,Sheet1!$B$1:$D$41,2,FALSE)</f>
        <v>Simon</v>
      </c>
      <c r="H126" t="str">
        <f>VLOOKUP(F126,Sheet1!$B$1:$D$41,2,FALSE)</f>
        <v>Steven</v>
      </c>
      <c r="I126">
        <f>VLOOKUP(E126,Sheet1!$B$1:$D$41,3,FALSE)</f>
        <v>2438184</v>
      </c>
      <c r="J126">
        <f>VLOOKUP(F126,Sheet1!$B$1:$D$41,3,FALSE)</f>
        <v>2440073</v>
      </c>
    </row>
    <row r="127" spans="1:10" x14ac:dyDescent="0.25">
      <c r="A127">
        <f>A123+1</f>
        <v>29</v>
      </c>
      <c r="B127" s="1" t="s">
        <v>11</v>
      </c>
      <c r="C127" s="1" t="s">
        <v>14</v>
      </c>
      <c r="D127" s="1" t="s">
        <v>39</v>
      </c>
      <c r="E127" t="s">
        <v>75</v>
      </c>
      <c r="F127" t="s">
        <v>10</v>
      </c>
      <c r="G127" t="str">
        <f>VLOOKUP(E127,Sheet1!$B$1:$D$41,2,FALSE)</f>
        <v>Keith</v>
      </c>
      <c r="H127" t="str">
        <f>VLOOKUP(F127,Sheet1!$B$1:$D$41,2,FALSE)</f>
        <v>Andy</v>
      </c>
      <c r="I127">
        <f>VLOOKUP(E127,Sheet1!$B$1:$D$41,3,FALSE)</f>
        <v>2445169</v>
      </c>
      <c r="J127">
        <f>VLOOKUP(F127,Sheet1!$B$1:$D$41,3,FALSE)</f>
        <v>882240</v>
      </c>
    </row>
    <row r="128" spans="1:10" x14ac:dyDescent="0.25">
      <c r="A128">
        <f>A124+1</f>
        <v>30</v>
      </c>
      <c r="B128" s="1" t="s">
        <v>11</v>
      </c>
      <c r="C128" s="1" t="s">
        <v>14</v>
      </c>
      <c r="D128" s="1" t="s">
        <v>39</v>
      </c>
      <c r="E128" t="s">
        <v>6</v>
      </c>
      <c r="F128" t="s">
        <v>10</v>
      </c>
      <c r="G128" t="str">
        <f>VLOOKUP(E128,Sheet1!$B$1:$D$41,2,FALSE)</f>
        <v>Gordon</v>
      </c>
      <c r="H128" t="str">
        <f>VLOOKUP(F128,Sheet1!$B$1:$D$41,2,FALSE)</f>
        <v>Andy</v>
      </c>
      <c r="I128">
        <f>VLOOKUP(E128,Sheet1!$B$1:$D$41,3,FALSE)</f>
        <v>2441126</v>
      </c>
      <c r="J128">
        <f>VLOOKUP(F128,Sheet1!$B$1:$D$41,3,FALSE)</f>
        <v>882240</v>
      </c>
    </row>
    <row r="129" spans="1:10" x14ac:dyDescent="0.25">
      <c r="A129">
        <f>A125+1</f>
        <v>30</v>
      </c>
      <c r="B129" s="1" t="s">
        <v>11</v>
      </c>
      <c r="C129" s="1" t="s">
        <v>14</v>
      </c>
      <c r="D129" s="1" t="s">
        <v>39</v>
      </c>
      <c r="E129" t="s">
        <v>7</v>
      </c>
      <c r="F129" t="s">
        <v>75</v>
      </c>
      <c r="G129" t="str">
        <f>VLOOKUP(E129,Sheet1!$B$1:$D$41,2,FALSE)</f>
        <v>Simon</v>
      </c>
      <c r="H129" t="str">
        <f>VLOOKUP(F129,Sheet1!$B$1:$D$41,2,FALSE)</f>
        <v>Keith</v>
      </c>
      <c r="I129">
        <f>VLOOKUP(E129,Sheet1!$B$1:$D$41,3,FALSE)</f>
        <v>2438184</v>
      </c>
      <c r="J129">
        <f>VLOOKUP(F129,Sheet1!$B$1:$D$41,3,FALSE)</f>
        <v>2445169</v>
      </c>
    </row>
    <row r="130" spans="1:10" x14ac:dyDescent="0.25">
      <c r="A130">
        <f>A126+1</f>
        <v>30</v>
      </c>
      <c r="B130" s="1" t="s">
        <v>11</v>
      </c>
      <c r="C130" s="1" t="s">
        <v>14</v>
      </c>
      <c r="D130" s="1" t="s">
        <v>39</v>
      </c>
      <c r="E130" t="s">
        <v>8</v>
      </c>
      <c r="F130" t="s">
        <v>74</v>
      </c>
      <c r="G130" t="str">
        <f>VLOOKUP(E130,Sheet1!$B$1:$D$41,2,FALSE)</f>
        <v>Gavin</v>
      </c>
      <c r="H130" t="str">
        <f>VLOOKUP(F130,Sheet1!$B$1:$D$41,2,FALSE)</f>
        <v>James</v>
      </c>
      <c r="I130">
        <f>VLOOKUP(E130,Sheet1!$B$1:$D$41,3,FALSE)</f>
        <v>2438353</v>
      </c>
      <c r="J130">
        <f>VLOOKUP(F130,Sheet1!$B$1:$D$41,3,FALSE)</f>
        <v>2439477</v>
      </c>
    </row>
    <row r="131" spans="1:10" x14ac:dyDescent="0.25">
      <c r="A131">
        <f>A127+1</f>
        <v>30</v>
      </c>
      <c r="B131" s="1" t="s">
        <v>11</v>
      </c>
      <c r="C131" s="1" t="s">
        <v>14</v>
      </c>
      <c r="D131" s="1" t="s">
        <v>39</v>
      </c>
      <c r="E131" t="s">
        <v>9</v>
      </c>
      <c r="F131" t="s">
        <v>73</v>
      </c>
      <c r="G131" t="str">
        <f>VLOOKUP(E131,Sheet1!$B$1:$D$41,2,FALSE)</f>
        <v>Walid</v>
      </c>
      <c r="H131" t="str">
        <f>VLOOKUP(F131,Sheet1!$B$1:$D$41,2,FALSE)</f>
        <v>Steven</v>
      </c>
      <c r="I131">
        <f>VLOOKUP(E131,Sheet1!$B$1:$D$41,3,FALSE)</f>
        <v>2752114</v>
      </c>
      <c r="J131">
        <f>VLOOKUP(F131,Sheet1!$B$1:$D$41,3,FALSE)</f>
        <v>2440073</v>
      </c>
    </row>
    <row r="132" spans="1:10" x14ac:dyDescent="0.25">
      <c r="A132">
        <f>A128+1</f>
        <v>31</v>
      </c>
      <c r="B132" s="1" t="s">
        <v>11</v>
      </c>
      <c r="C132" s="1" t="s">
        <v>14</v>
      </c>
      <c r="D132" s="1" t="s">
        <v>39</v>
      </c>
      <c r="E132" t="s">
        <v>10</v>
      </c>
      <c r="F132" t="s">
        <v>9</v>
      </c>
      <c r="G132" t="str">
        <f>VLOOKUP(E132,Sheet1!$B$1:$D$41,2,FALSE)</f>
        <v>Andy</v>
      </c>
      <c r="H132" t="str">
        <f>VLOOKUP(F132,Sheet1!$B$1:$D$41,2,FALSE)</f>
        <v>Walid</v>
      </c>
      <c r="I132">
        <f>VLOOKUP(E132,Sheet1!$B$1:$D$41,3,FALSE)</f>
        <v>882240</v>
      </c>
      <c r="J132">
        <f>VLOOKUP(F132,Sheet1!$B$1:$D$41,3,FALSE)</f>
        <v>2752114</v>
      </c>
    </row>
    <row r="133" spans="1:10" x14ac:dyDescent="0.25">
      <c r="A133">
        <f>A129+1</f>
        <v>31</v>
      </c>
      <c r="B133" s="1" t="s">
        <v>11</v>
      </c>
      <c r="C133" s="1" t="s">
        <v>14</v>
      </c>
      <c r="D133" s="1" t="s">
        <v>39</v>
      </c>
      <c r="E133" t="s">
        <v>73</v>
      </c>
      <c r="F133" t="s">
        <v>8</v>
      </c>
      <c r="G133" t="str">
        <f>VLOOKUP(E133,Sheet1!$B$1:$D$41,2,FALSE)</f>
        <v>Steven</v>
      </c>
      <c r="H133" t="str">
        <f>VLOOKUP(F133,Sheet1!$B$1:$D$41,2,FALSE)</f>
        <v>Gavin</v>
      </c>
      <c r="I133">
        <f>VLOOKUP(E133,Sheet1!$B$1:$D$41,3,FALSE)</f>
        <v>2440073</v>
      </c>
      <c r="J133">
        <f>VLOOKUP(F133,Sheet1!$B$1:$D$41,3,FALSE)</f>
        <v>2438353</v>
      </c>
    </row>
    <row r="134" spans="1:10" x14ac:dyDescent="0.25">
      <c r="A134">
        <f>A130+1</f>
        <v>31</v>
      </c>
      <c r="B134" s="1" t="s">
        <v>11</v>
      </c>
      <c r="C134" s="1" t="s">
        <v>14</v>
      </c>
      <c r="D134" s="1" t="s">
        <v>39</v>
      </c>
      <c r="E134" t="s">
        <v>74</v>
      </c>
      <c r="F134" t="s">
        <v>7</v>
      </c>
      <c r="G134" t="str">
        <f>VLOOKUP(E134,Sheet1!$B$1:$D$41,2,FALSE)</f>
        <v>James</v>
      </c>
      <c r="H134" t="str">
        <f>VLOOKUP(F134,Sheet1!$B$1:$D$41,2,FALSE)</f>
        <v>Simon</v>
      </c>
      <c r="I134">
        <f>VLOOKUP(E134,Sheet1!$B$1:$D$41,3,FALSE)</f>
        <v>2439477</v>
      </c>
      <c r="J134">
        <f>VLOOKUP(F134,Sheet1!$B$1:$D$41,3,FALSE)</f>
        <v>2438184</v>
      </c>
    </row>
    <row r="135" spans="1:10" x14ac:dyDescent="0.25">
      <c r="A135">
        <f>A131+1</f>
        <v>31</v>
      </c>
      <c r="B135" s="1" t="s">
        <v>11</v>
      </c>
      <c r="C135" s="1" t="s">
        <v>14</v>
      </c>
      <c r="D135" s="1" t="s">
        <v>39</v>
      </c>
      <c r="E135" t="s">
        <v>75</v>
      </c>
      <c r="F135" t="s">
        <v>6</v>
      </c>
      <c r="G135" t="str">
        <f>VLOOKUP(E135,Sheet1!$B$1:$D$41,2,FALSE)</f>
        <v>Keith</v>
      </c>
      <c r="H135" t="str">
        <f>VLOOKUP(F135,Sheet1!$B$1:$D$41,2,FALSE)</f>
        <v>Gordon</v>
      </c>
      <c r="I135">
        <f>VLOOKUP(E135,Sheet1!$B$1:$D$41,3,FALSE)</f>
        <v>2445169</v>
      </c>
      <c r="J135">
        <f>VLOOKUP(F135,Sheet1!$B$1:$D$41,3,FALSE)</f>
        <v>2441126</v>
      </c>
    </row>
    <row r="136" spans="1:10" x14ac:dyDescent="0.25">
      <c r="A136">
        <f>A132+1</f>
        <v>32</v>
      </c>
      <c r="B136" s="1" t="s">
        <v>11</v>
      </c>
      <c r="C136" s="1" t="s">
        <v>14</v>
      </c>
      <c r="D136" s="1" t="s">
        <v>39</v>
      </c>
      <c r="E136" t="s">
        <v>8</v>
      </c>
      <c r="F136" t="s">
        <v>6</v>
      </c>
      <c r="G136" t="str">
        <f>VLOOKUP(E136,Sheet1!$B$1:$D$41,2,FALSE)</f>
        <v>Gavin</v>
      </c>
      <c r="H136" t="str">
        <f>VLOOKUP(F136,Sheet1!$B$1:$D$41,2,FALSE)</f>
        <v>Gordon</v>
      </c>
      <c r="I136">
        <f>VLOOKUP(E136,Sheet1!$B$1:$D$41,3,FALSE)</f>
        <v>2438353</v>
      </c>
      <c r="J136">
        <f>VLOOKUP(F136,Sheet1!$B$1:$D$41,3,FALSE)</f>
        <v>2441126</v>
      </c>
    </row>
    <row r="137" spans="1:10" x14ac:dyDescent="0.25">
      <c r="A137">
        <f>A133+1</f>
        <v>32</v>
      </c>
      <c r="B137" s="1" t="s">
        <v>11</v>
      </c>
      <c r="C137" s="1" t="s">
        <v>14</v>
      </c>
      <c r="D137" s="1" t="s">
        <v>39</v>
      </c>
      <c r="E137" t="s">
        <v>73</v>
      </c>
      <c r="F137" t="s">
        <v>74</v>
      </c>
      <c r="G137" t="str">
        <f>VLOOKUP(E137,Sheet1!$B$1:$D$41,2,FALSE)</f>
        <v>Steven</v>
      </c>
      <c r="H137" t="str">
        <f>VLOOKUP(F137,Sheet1!$B$1:$D$41,2,FALSE)</f>
        <v>James</v>
      </c>
      <c r="I137">
        <f>VLOOKUP(E137,Sheet1!$B$1:$D$41,3,FALSE)</f>
        <v>2440073</v>
      </c>
      <c r="J137">
        <f>VLOOKUP(F137,Sheet1!$B$1:$D$41,3,FALSE)</f>
        <v>2439477</v>
      </c>
    </row>
    <row r="138" spans="1:10" x14ac:dyDescent="0.25">
      <c r="A138">
        <f>A134+1</f>
        <v>32</v>
      </c>
      <c r="B138" s="1" t="s">
        <v>11</v>
      </c>
      <c r="C138" s="1" t="s">
        <v>14</v>
      </c>
      <c r="D138" s="1" t="s">
        <v>39</v>
      </c>
      <c r="E138" t="s">
        <v>7</v>
      </c>
      <c r="F138" t="s">
        <v>10</v>
      </c>
      <c r="G138" t="str">
        <f>VLOOKUP(E138,Sheet1!$B$1:$D$41,2,FALSE)</f>
        <v>Simon</v>
      </c>
      <c r="H138" t="str">
        <f>VLOOKUP(F138,Sheet1!$B$1:$D$41,2,FALSE)</f>
        <v>Andy</v>
      </c>
      <c r="I138">
        <f>VLOOKUP(E138,Sheet1!$B$1:$D$41,3,FALSE)</f>
        <v>2438184</v>
      </c>
      <c r="J138">
        <f>VLOOKUP(F138,Sheet1!$B$1:$D$41,3,FALSE)</f>
        <v>882240</v>
      </c>
    </row>
    <row r="139" spans="1:10" x14ac:dyDescent="0.25">
      <c r="A139">
        <f>A135+1</f>
        <v>32</v>
      </c>
      <c r="B139" s="1" t="s">
        <v>11</v>
      </c>
      <c r="C139" s="1" t="s">
        <v>14</v>
      </c>
      <c r="D139" s="1" t="s">
        <v>39</v>
      </c>
      <c r="E139" t="s">
        <v>9</v>
      </c>
      <c r="F139" t="s">
        <v>75</v>
      </c>
      <c r="G139" t="str">
        <f>VLOOKUP(E139,Sheet1!$B$1:$D$41,2,FALSE)</f>
        <v>Walid</v>
      </c>
      <c r="H139" t="str">
        <f>VLOOKUP(F139,Sheet1!$B$1:$D$41,2,FALSE)</f>
        <v>Keith</v>
      </c>
      <c r="I139">
        <f>VLOOKUP(E139,Sheet1!$B$1:$D$41,3,FALSE)</f>
        <v>2752114</v>
      </c>
      <c r="J139">
        <f>VLOOKUP(F139,Sheet1!$B$1:$D$41,3,FALSE)</f>
        <v>2445169</v>
      </c>
    </row>
    <row r="140" spans="1:10" x14ac:dyDescent="0.25">
      <c r="A140">
        <f>A136+1</f>
        <v>33</v>
      </c>
      <c r="B140" s="1" t="s">
        <v>11</v>
      </c>
      <c r="C140" s="1" t="s">
        <v>14</v>
      </c>
      <c r="D140" s="1" t="s">
        <v>39</v>
      </c>
      <c r="E140" t="s">
        <v>75</v>
      </c>
      <c r="F140" t="s">
        <v>8</v>
      </c>
      <c r="G140" t="str">
        <f>VLOOKUP(E140,Sheet1!$B$1:$D$41,2,FALSE)</f>
        <v>Keith</v>
      </c>
      <c r="H140" t="str">
        <f>VLOOKUP(F140,Sheet1!$B$1:$D$41,2,FALSE)</f>
        <v>Gavin</v>
      </c>
      <c r="I140">
        <f>VLOOKUP(E140,Sheet1!$B$1:$D$41,3,FALSE)</f>
        <v>2445169</v>
      </c>
      <c r="J140">
        <f>VLOOKUP(F140,Sheet1!$B$1:$D$41,3,FALSE)</f>
        <v>2438353</v>
      </c>
    </row>
    <row r="141" spans="1:10" x14ac:dyDescent="0.25">
      <c r="A141">
        <f>A137+1</f>
        <v>33</v>
      </c>
      <c r="B141" s="1" t="s">
        <v>11</v>
      </c>
      <c r="C141" s="1" t="s">
        <v>14</v>
      </c>
      <c r="D141" s="1" t="s">
        <v>39</v>
      </c>
      <c r="E141" t="s">
        <v>10</v>
      </c>
      <c r="F141" t="s">
        <v>73</v>
      </c>
      <c r="G141" t="str">
        <f>VLOOKUP(E141,Sheet1!$B$1:$D$41,2,FALSE)</f>
        <v>Andy</v>
      </c>
      <c r="H141" t="str">
        <f>VLOOKUP(F141,Sheet1!$B$1:$D$41,2,FALSE)</f>
        <v>Steven</v>
      </c>
      <c r="I141">
        <f>VLOOKUP(E141,Sheet1!$B$1:$D$41,3,FALSE)</f>
        <v>882240</v>
      </c>
      <c r="J141">
        <f>VLOOKUP(F141,Sheet1!$B$1:$D$41,3,FALSE)</f>
        <v>2440073</v>
      </c>
    </row>
    <row r="142" spans="1:10" x14ac:dyDescent="0.25">
      <c r="A142">
        <f>A138+1</f>
        <v>33</v>
      </c>
      <c r="B142" s="1" t="s">
        <v>11</v>
      </c>
      <c r="C142" s="1" t="s">
        <v>14</v>
      </c>
      <c r="D142" s="1" t="s">
        <v>39</v>
      </c>
      <c r="E142" t="s">
        <v>6</v>
      </c>
      <c r="F142" t="s">
        <v>7</v>
      </c>
      <c r="G142" t="str">
        <f>VLOOKUP(E142,Sheet1!$B$1:$D$41,2,FALSE)</f>
        <v>Gordon</v>
      </c>
      <c r="H142" t="str">
        <f>VLOOKUP(F142,Sheet1!$B$1:$D$41,2,FALSE)</f>
        <v>Simon</v>
      </c>
      <c r="I142">
        <f>VLOOKUP(E142,Sheet1!$B$1:$D$41,3,FALSE)</f>
        <v>2441126</v>
      </c>
      <c r="J142">
        <f>VLOOKUP(F142,Sheet1!$B$1:$D$41,3,FALSE)</f>
        <v>2438184</v>
      </c>
    </row>
    <row r="143" spans="1:10" x14ac:dyDescent="0.25">
      <c r="A143">
        <f>A139+1</f>
        <v>33</v>
      </c>
      <c r="B143" s="1" t="s">
        <v>11</v>
      </c>
      <c r="C143" s="1" t="s">
        <v>14</v>
      </c>
      <c r="D143" s="1" t="s">
        <v>39</v>
      </c>
      <c r="E143" t="s">
        <v>9</v>
      </c>
      <c r="F143" t="s">
        <v>74</v>
      </c>
      <c r="G143" t="str">
        <f>VLOOKUP(E143,Sheet1!$B$1:$D$41,2,FALSE)</f>
        <v>Walid</v>
      </c>
      <c r="H143" t="str">
        <f>VLOOKUP(F143,Sheet1!$B$1:$D$41,2,FALSE)</f>
        <v>James</v>
      </c>
      <c r="I143">
        <f>VLOOKUP(E143,Sheet1!$B$1:$D$41,3,FALSE)</f>
        <v>2752114</v>
      </c>
      <c r="J143">
        <f>VLOOKUP(F143,Sheet1!$B$1:$D$41,3,FALSE)</f>
        <v>2439477</v>
      </c>
    </row>
    <row r="144" spans="1:10" x14ac:dyDescent="0.25">
      <c r="A144">
        <f>A140+1</f>
        <v>34</v>
      </c>
      <c r="B144" s="1" t="s">
        <v>11</v>
      </c>
      <c r="C144" s="1" t="s">
        <v>14</v>
      </c>
      <c r="D144" s="1" t="s">
        <v>39</v>
      </c>
      <c r="E144" t="s">
        <v>8</v>
      </c>
      <c r="F144" t="s">
        <v>10</v>
      </c>
      <c r="G144" t="str">
        <f>VLOOKUP(E144,Sheet1!$B$1:$D$41,2,FALSE)</f>
        <v>Gavin</v>
      </c>
      <c r="H144" t="str">
        <f>VLOOKUP(F144,Sheet1!$B$1:$D$41,2,FALSE)</f>
        <v>Andy</v>
      </c>
      <c r="I144">
        <f>VLOOKUP(E144,Sheet1!$B$1:$D$41,3,FALSE)</f>
        <v>2438353</v>
      </c>
      <c r="J144">
        <f>VLOOKUP(F144,Sheet1!$B$1:$D$41,3,FALSE)</f>
        <v>882240</v>
      </c>
    </row>
    <row r="145" spans="1:10" x14ac:dyDescent="0.25">
      <c r="A145">
        <f>A141+1</f>
        <v>34</v>
      </c>
      <c r="B145" s="1" t="s">
        <v>11</v>
      </c>
      <c r="C145" s="1" t="s">
        <v>14</v>
      </c>
      <c r="D145" s="1" t="s">
        <v>39</v>
      </c>
      <c r="E145" t="s">
        <v>74</v>
      </c>
      <c r="F145" t="s">
        <v>75</v>
      </c>
      <c r="G145" t="str">
        <f>VLOOKUP(E145,Sheet1!$B$1:$D$41,2,FALSE)</f>
        <v>James</v>
      </c>
      <c r="H145" t="str">
        <f>VLOOKUP(F145,Sheet1!$B$1:$D$41,2,FALSE)</f>
        <v>Keith</v>
      </c>
      <c r="I145">
        <f>VLOOKUP(E145,Sheet1!$B$1:$D$41,3,FALSE)</f>
        <v>2439477</v>
      </c>
      <c r="J145">
        <f>VLOOKUP(F145,Sheet1!$B$1:$D$41,3,FALSE)</f>
        <v>2445169</v>
      </c>
    </row>
    <row r="146" spans="1:10" x14ac:dyDescent="0.25">
      <c r="A146">
        <f>A142+1</f>
        <v>34</v>
      </c>
      <c r="B146" s="1" t="s">
        <v>11</v>
      </c>
      <c r="C146" s="1" t="s">
        <v>14</v>
      </c>
      <c r="D146" s="1" t="s">
        <v>39</v>
      </c>
      <c r="E146" t="s">
        <v>73</v>
      </c>
      <c r="F146" t="s">
        <v>6</v>
      </c>
      <c r="G146" t="str">
        <f>VLOOKUP(E146,Sheet1!$B$1:$D$41,2,FALSE)</f>
        <v>Steven</v>
      </c>
      <c r="H146" t="str">
        <f>VLOOKUP(F146,Sheet1!$B$1:$D$41,2,FALSE)</f>
        <v>Gordon</v>
      </c>
      <c r="I146">
        <f>VLOOKUP(E146,Sheet1!$B$1:$D$41,3,FALSE)</f>
        <v>2440073</v>
      </c>
      <c r="J146">
        <f>VLOOKUP(F146,Sheet1!$B$1:$D$41,3,FALSE)</f>
        <v>2441126</v>
      </c>
    </row>
    <row r="147" spans="1:10" x14ac:dyDescent="0.25">
      <c r="A147">
        <f>A143+1</f>
        <v>34</v>
      </c>
      <c r="B147" s="1" t="s">
        <v>11</v>
      </c>
      <c r="C147" s="1" t="s">
        <v>14</v>
      </c>
      <c r="D147" s="1" t="s">
        <v>39</v>
      </c>
      <c r="E147" t="s">
        <v>9</v>
      </c>
      <c r="F147" t="s">
        <v>7</v>
      </c>
      <c r="G147" t="str">
        <f>VLOOKUP(E147,Sheet1!$B$1:$D$41,2,FALSE)</f>
        <v>Walid</v>
      </c>
      <c r="H147" t="str">
        <f>VLOOKUP(F147,Sheet1!$B$1:$D$41,2,FALSE)</f>
        <v>Simon</v>
      </c>
      <c r="I147">
        <f>VLOOKUP(E147,Sheet1!$B$1:$D$41,3,FALSE)</f>
        <v>2752114</v>
      </c>
      <c r="J147">
        <f>VLOOKUP(F147,Sheet1!$B$1:$D$41,3,FALSE)</f>
        <v>2438184</v>
      </c>
    </row>
    <row r="148" spans="1:10" x14ac:dyDescent="0.25">
      <c r="A148">
        <f>A144+1</f>
        <v>35</v>
      </c>
      <c r="B148" s="1" t="s">
        <v>11</v>
      </c>
      <c r="C148" s="1" t="s">
        <v>14</v>
      </c>
      <c r="D148" s="1" t="s">
        <v>39</v>
      </c>
      <c r="E148" t="s">
        <v>7</v>
      </c>
      <c r="F148" t="s">
        <v>8</v>
      </c>
      <c r="G148" t="str">
        <f>VLOOKUP(E148,Sheet1!$B$1:$D$41,2,FALSE)</f>
        <v>Simon</v>
      </c>
      <c r="H148" t="str">
        <f>VLOOKUP(F148,Sheet1!$B$1:$D$41,2,FALSE)</f>
        <v>Gavin</v>
      </c>
      <c r="I148">
        <f>VLOOKUP(E148,Sheet1!$B$1:$D$41,3,FALSE)</f>
        <v>2438184</v>
      </c>
      <c r="J148">
        <f>VLOOKUP(F148,Sheet1!$B$1:$D$41,3,FALSE)</f>
        <v>2438353</v>
      </c>
    </row>
    <row r="149" spans="1:10" x14ac:dyDescent="0.25">
      <c r="A149">
        <f>A145+1</f>
        <v>35</v>
      </c>
      <c r="B149" s="1" t="s">
        <v>11</v>
      </c>
      <c r="C149" s="1" t="s">
        <v>14</v>
      </c>
      <c r="D149" s="1" t="s">
        <v>39</v>
      </c>
      <c r="E149" t="s">
        <v>10</v>
      </c>
      <c r="F149" t="s">
        <v>74</v>
      </c>
      <c r="G149" t="str">
        <f>VLOOKUP(E149,Sheet1!$B$1:$D$41,2,FALSE)</f>
        <v>Andy</v>
      </c>
      <c r="H149" t="str">
        <f>VLOOKUP(F149,Sheet1!$B$1:$D$41,2,FALSE)</f>
        <v>James</v>
      </c>
      <c r="I149">
        <f>VLOOKUP(E149,Sheet1!$B$1:$D$41,3,FALSE)</f>
        <v>882240</v>
      </c>
      <c r="J149">
        <f>VLOOKUP(F149,Sheet1!$B$1:$D$41,3,FALSE)</f>
        <v>2439477</v>
      </c>
    </row>
    <row r="150" spans="1:10" x14ac:dyDescent="0.25">
      <c r="A150">
        <f>A146+1</f>
        <v>35</v>
      </c>
      <c r="B150" s="1" t="s">
        <v>11</v>
      </c>
      <c r="C150" s="1" t="s">
        <v>14</v>
      </c>
      <c r="D150" s="1" t="s">
        <v>39</v>
      </c>
      <c r="E150" t="s">
        <v>75</v>
      </c>
      <c r="F150" t="s">
        <v>73</v>
      </c>
      <c r="G150" t="str">
        <f>VLOOKUP(E150,Sheet1!$B$1:$D$41,2,FALSE)</f>
        <v>Keith</v>
      </c>
      <c r="H150" t="str">
        <f>VLOOKUP(F150,Sheet1!$B$1:$D$41,2,FALSE)</f>
        <v>Steven</v>
      </c>
      <c r="I150">
        <f>VLOOKUP(E150,Sheet1!$B$1:$D$41,3,FALSE)</f>
        <v>2445169</v>
      </c>
      <c r="J150">
        <f>VLOOKUP(F150,Sheet1!$B$1:$D$41,3,FALSE)</f>
        <v>2440073</v>
      </c>
    </row>
    <row r="151" spans="1:10" x14ac:dyDescent="0.25">
      <c r="A151">
        <f>A147+1</f>
        <v>35</v>
      </c>
      <c r="B151" s="1" t="s">
        <v>11</v>
      </c>
      <c r="C151" s="1" t="s">
        <v>14</v>
      </c>
      <c r="D151" s="1" t="s">
        <v>39</v>
      </c>
      <c r="E151" t="s">
        <v>9</v>
      </c>
      <c r="F151" t="s">
        <v>6</v>
      </c>
      <c r="G151" t="str">
        <f>VLOOKUP(E151,Sheet1!$B$1:$D$41,2,FALSE)</f>
        <v>Walid</v>
      </c>
      <c r="H151" t="str">
        <f>VLOOKUP(F151,Sheet1!$B$1:$D$41,2,FALSE)</f>
        <v>Gordon</v>
      </c>
      <c r="I151">
        <f>VLOOKUP(E151,Sheet1!$B$1:$D$41,3,FALSE)</f>
        <v>2752114</v>
      </c>
      <c r="J151">
        <f>VLOOKUP(F151,Sheet1!$B$1:$D$41,3,FALSE)</f>
        <v>2441126</v>
      </c>
    </row>
    <row r="152" spans="1:10" x14ac:dyDescent="0.25">
      <c r="A152">
        <f>A148+1</f>
        <v>36</v>
      </c>
      <c r="B152" s="1" t="s">
        <v>11</v>
      </c>
      <c r="C152" s="1" t="s">
        <v>14</v>
      </c>
      <c r="D152" s="1" t="s">
        <v>39</v>
      </c>
      <c r="E152" t="s">
        <v>8</v>
      </c>
      <c r="F152" t="s">
        <v>9</v>
      </c>
      <c r="G152" t="str">
        <f>VLOOKUP(E152,Sheet1!$B$1:$D$41,2,FALSE)</f>
        <v>Gavin</v>
      </c>
      <c r="H152" t="str">
        <f>VLOOKUP(F152,Sheet1!$B$1:$D$41,2,FALSE)</f>
        <v>Walid</v>
      </c>
      <c r="I152">
        <f>VLOOKUP(E152,Sheet1!$B$1:$D$41,3,FALSE)</f>
        <v>2438353</v>
      </c>
      <c r="J152">
        <f>VLOOKUP(F152,Sheet1!$B$1:$D$41,3,FALSE)</f>
        <v>2752114</v>
      </c>
    </row>
    <row r="153" spans="1:10" x14ac:dyDescent="0.25">
      <c r="A153">
        <f>A149+1</f>
        <v>36</v>
      </c>
      <c r="B153" s="1" t="s">
        <v>11</v>
      </c>
      <c r="C153" s="1" t="s">
        <v>14</v>
      </c>
      <c r="D153" s="1" t="s">
        <v>39</v>
      </c>
      <c r="E153" t="s">
        <v>6</v>
      </c>
      <c r="F153" t="s">
        <v>74</v>
      </c>
      <c r="G153" t="str">
        <f>VLOOKUP(E153,Sheet1!$B$1:$D$41,2,FALSE)</f>
        <v>Gordon</v>
      </c>
      <c r="H153" t="str">
        <f>VLOOKUP(F153,Sheet1!$B$1:$D$41,2,FALSE)</f>
        <v>James</v>
      </c>
      <c r="I153">
        <f>VLOOKUP(E153,Sheet1!$B$1:$D$41,3,FALSE)</f>
        <v>2441126</v>
      </c>
      <c r="J153">
        <f>VLOOKUP(F153,Sheet1!$B$1:$D$41,3,FALSE)</f>
        <v>2439477</v>
      </c>
    </row>
    <row r="154" spans="1:10" x14ac:dyDescent="0.25">
      <c r="A154">
        <f>A150+1</f>
        <v>36</v>
      </c>
      <c r="B154" s="1" t="s">
        <v>11</v>
      </c>
      <c r="C154" s="1" t="s">
        <v>14</v>
      </c>
      <c r="D154" s="1" t="s">
        <v>39</v>
      </c>
      <c r="E154" t="s">
        <v>7</v>
      </c>
      <c r="F154" t="s">
        <v>73</v>
      </c>
      <c r="G154" t="str">
        <f>VLOOKUP(E154,Sheet1!$B$1:$D$41,2,FALSE)</f>
        <v>Simon</v>
      </c>
      <c r="H154" t="str">
        <f>VLOOKUP(F154,Sheet1!$B$1:$D$41,2,FALSE)</f>
        <v>Steven</v>
      </c>
      <c r="I154">
        <f>VLOOKUP(E154,Sheet1!$B$1:$D$41,3,FALSE)</f>
        <v>2438184</v>
      </c>
      <c r="J154">
        <f>VLOOKUP(F154,Sheet1!$B$1:$D$41,3,FALSE)</f>
        <v>2440073</v>
      </c>
    </row>
    <row r="155" spans="1:10" x14ac:dyDescent="0.25">
      <c r="A155">
        <f>A151+1</f>
        <v>36</v>
      </c>
      <c r="B155" s="1" t="s">
        <v>11</v>
      </c>
      <c r="C155" s="1" t="s">
        <v>14</v>
      </c>
      <c r="D155" s="1" t="s">
        <v>39</v>
      </c>
      <c r="E155" t="s">
        <v>75</v>
      </c>
      <c r="F155" t="s">
        <v>10</v>
      </c>
      <c r="G155" t="str">
        <f>VLOOKUP(E155,Sheet1!$B$1:$D$41,2,FALSE)</f>
        <v>Keith</v>
      </c>
      <c r="H155" t="str">
        <f>VLOOKUP(F155,Sheet1!$B$1:$D$41,2,FALSE)</f>
        <v>Andy</v>
      </c>
      <c r="I155">
        <f>VLOOKUP(E155,Sheet1!$B$1:$D$41,3,FALSE)</f>
        <v>2445169</v>
      </c>
      <c r="J155">
        <f>VLOOKUP(F155,Sheet1!$B$1:$D$41,3,FALSE)</f>
        <v>882240</v>
      </c>
    </row>
    <row r="156" spans="1:10" x14ac:dyDescent="0.25">
      <c r="A156">
        <f>A152+1</f>
        <v>37</v>
      </c>
      <c r="B156" s="1" t="s">
        <v>11</v>
      </c>
      <c r="C156" s="1" t="s">
        <v>14</v>
      </c>
      <c r="D156" s="1" t="s">
        <v>40</v>
      </c>
    </row>
    <row r="157" spans="1:10" x14ac:dyDescent="0.25">
      <c r="A157">
        <f>A153+1</f>
        <v>37</v>
      </c>
      <c r="B157" s="1" t="s">
        <v>11</v>
      </c>
      <c r="C157" s="1" t="s">
        <v>14</v>
      </c>
      <c r="D157" s="1" t="s">
        <v>40</v>
      </c>
    </row>
    <row r="158" spans="1:10" x14ac:dyDescent="0.25">
      <c r="A158">
        <f>A154+1</f>
        <v>37</v>
      </c>
      <c r="B158" s="1" t="s">
        <v>11</v>
      </c>
      <c r="C158" s="1" t="s">
        <v>14</v>
      </c>
      <c r="D158" s="1" t="s">
        <v>40</v>
      </c>
    </row>
    <row r="159" spans="1:10" x14ac:dyDescent="0.25">
      <c r="A159">
        <f>A155+1</f>
        <v>37</v>
      </c>
      <c r="B159" s="1" t="s">
        <v>11</v>
      </c>
      <c r="C159" s="1" t="s">
        <v>14</v>
      </c>
      <c r="D159" s="1" t="s">
        <v>40</v>
      </c>
    </row>
    <row r="160" spans="1:10" x14ac:dyDescent="0.25">
      <c r="A160">
        <f>A156+1</f>
        <v>38</v>
      </c>
      <c r="B160" s="1" t="s">
        <v>11</v>
      </c>
      <c r="C160" s="1" t="s">
        <v>14</v>
      </c>
      <c r="D160" s="1" t="s">
        <v>41</v>
      </c>
    </row>
    <row r="161" spans="1:10" x14ac:dyDescent="0.25">
      <c r="A161">
        <f>A157+1</f>
        <v>38</v>
      </c>
      <c r="B161" s="1" t="s">
        <v>11</v>
      </c>
      <c r="C161" s="1" t="s">
        <v>14</v>
      </c>
      <c r="D161" s="1" t="s">
        <v>42</v>
      </c>
    </row>
    <row r="162" spans="1:10" x14ac:dyDescent="0.25">
      <c r="A162">
        <f>A158+1</f>
        <v>38</v>
      </c>
      <c r="B162" s="1" t="s">
        <v>11</v>
      </c>
      <c r="C162" s="1" t="s">
        <v>14</v>
      </c>
      <c r="D162" s="1" t="s">
        <v>41</v>
      </c>
    </row>
    <row r="163" spans="1:10" x14ac:dyDescent="0.25">
      <c r="A163">
        <f>A159+1</f>
        <v>38</v>
      </c>
      <c r="B163" s="1" t="s">
        <v>11</v>
      </c>
      <c r="C163" s="1" t="s">
        <v>14</v>
      </c>
      <c r="D163" s="1" t="s">
        <v>43</v>
      </c>
    </row>
    <row r="164" spans="1:10" x14ac:dyDescent="0.25">
      <c r="A164">
        <f>A160+1</f>
        <v>39</v>
      </c>
      <c r="B164" s="1" t="s">
        <v>11</v>
      </c>
      <c r="C164" s="1" t="s">
        <v>14</v>
      </c>
      <c r="D164" s="1" t="s">
        <v>46</v>
      </c>
    </row>
    <row r="165" spans="1:10" x14ac:dyDescent="0.25">
      <c r="A165">
        <f>A161+1</f>
        <v>39</v>
      </c>
      <c r="B165" s="1" t="s">
        <v>11</v>
      </c>
      <c r="C165" s="1" t="s">
        <v>14</v>
      </c>
      <c r="D165" s="1" t="s">
        <v>44</v>
      </c>
    </row>
    <row r="166" spans="1:10" x14ac:dyDescent="0.25">
      <c r="A166">
        <f>A162+1</f>
        <v>39</v>
      </c>
      <c r="B166" s="1" t="s">
        <v>11</v>
      </c>
      <c r="C166" s="1" t="s">
        <v>14</v>
      </c>
      <c r="D166" s="1" t="s">
        <v>42</v>
      </c>
    </row>
    <row r="167" spans="1:10" x14ac:dyDescent="0.25">
      <c r="A167">
        <f>A163+1</f>
        <v>39</v>
      </c>
      <c r="B167" s="1" t="s">
        <v>11</v>
      </c>
      <c r="C167" s="1" t="s">
        <v>14</v>
      </c>
      <c r="D167" s="1" t="s">
        <v>45</v>
      </c>
    </row>
    <row r="168" spans="1:10" x14ac:dyDescent="0.25">
      <c r="A168">
        <v>1</v>
      </c>
      <c r="B168" s="1" t="s">
        <v>12</v>
      </c>
      <c r="C168" s="1" t="s">
        <v>14</v>
      </c>
      <c r="D168" s="1" t="s">
        <v>39</v>
      </c>
      <c r="E168" t="s">
        <v>15</v>
      </c>
      <c r="F168" t="s">
        <v>17</v>
      </c>
      <c r="G168" t="str">
        <f>VLOOKUP(E168,Sheet1!$B$1:$D$41,2,FALSE)</f>
        <v>Gavin</v>
      </c>
      <c r="H168" t="str">
        <f>VLOOKUP(F168,Sheet1!$B$1:$D$41,2,FALSE)</f>
        <v>James</v>
      </c>
      <c r="I168">
        <f>VLOOKUP(E168,Sheet1!$B$1:$D$41,3,FALSE)</f>
        <v>3801379</v>
      </c>
      <c r="J168">
        <f>VLOOKUP(F168,Sheet1!$B$1:$D$41,3,FALSE)</f>
        <v>16280</v>
      </c>
    </row>
    <row r="169" spans="1:10" x14ac:dyDescent="0.25">
      <c r="A169">
        <v>1</v>
      </c>
      <c r="B169" s="1" t="s">
        <v>12</v>
      </c>
      <c r="C169" s="1" t="s">
        <v>14</v>
      </c>
      <c r="D169" s="1" t="s">
        <v>39</v>
      </c>
      <c r="E169" t="s">
        <v>79</v>
      </c>
      <c r="F169" t="s">
        <v>20</v>
      </c>
      <c r="G169" t="str">
        <f>VLOOKUP(E169,Sheet1!$B$1:$D$41,2,FALSE)</f>
        <v>Steven</v>
      </c>
      <c r="H169" t="str">
        <f>VLOOKUP(F169,Sheet1!$B$1:$D$41,2,FALSE)</f>
        <v>Simon</v>
      </c>
      <c r="I169">
        <f>VLOOKUP(E169,Sheet1!$B$1:$D$41,3,FALSE)</f>
        <v>3824633</v>
      </c>
      <c r="J169">
        <f>VLOOKUP(F169,Sheet1!$B$1:$D$41,3,FALSE)</f>
        <v>3802409</v>
      </c>
    </row>
    <row r="170" spans="1:10" x14ac:dyDescent="0.25">
      <c r="A170">
        <v>1</v>
      </c>
      <c r="B170" s="1" t="s">
        <v>12</v>
      </c>
      <c r="C170" s="1" t="s">
        <v>14</v>
      </c>
      <c r="D170" s="1" t="s">
        <v>39</v>
      </c>
      <c r="E170" t="s">
        <v>16</v>
      </c>
      <c r="F170" t="s">
        <v>19</v>
      </c>
      <c r="G170" t="str">
        <f>VLOOKUP(E170,Sheet1!$B$1:$D$41,2,FALSE)</f>
        <v>Gordon</v>
      </c>
      <c r="H170" t="str">
        <f>VLOOKUP(F170,Sheet1!$B$1:$D$41,2,FALSE)</f>
        <v>Keith</v>
      </c>
      <c r="I170">
        <f>VLOOKUP(E170,Sheet1!$B$1:$D$41,3,FALSE)</f>
        <v>2347381</v>
      </c>
      <c r="J170">
        <f>VLOOKUP(F170,Sheet1!$B$1:$D$41,3,FALSE)</f>
        <v>3803304</v>
      </c>
    </row>
    <row r="171" spans="1:10" x14ac:dyDescent="0.25">
      <c r="A171">
        <v>1</v>
      </c>
      <c r="B171" s="1" t="s">
        <v>12</v>
      </c>
      <c r="C171" s="1" t="s">
        <v>14</v>
      </c>
      <c r="D171" s="1" t="s">
        <v>39</v>
      </c>
      <c r="E171" t="s">
        <v>78</v>
      </c>
      <c r="F171" t="s">
        <v>18</v>
      </c>
      <c r="G171" t="str">
        <f>VLOOKUP(E171,Sheet1!$B$1:$D$41,2,FALSE)</f>
        <v>Walid</v>
      </c>
      <c r="H171" t="str">
        <f>VLOOKUP(F171,Sheet1!$B$1:$D$41,2,FALSE)</f>
        <v>Andy</v>
      </c>
      <c r="I171">
        <f>VLOOKUP(E171,Sheet1!$B$1:$D$41,3,FALSE)</f>
        <v>3823441</v>
      </c>
      <c r="J171">
        <f>VLOOKUP(F171,Sheet1!$B$1:$D$41,3,FALSE)</f>
        <v>36150</v>
      </c>
    </row>
    <row r="172" spans="1:10" x14ac:dyDescent="0.25">
      <c r="A172">
        <f>A168+1</f>
        <v>2</v>
      </c>
      <c r="B172" s="1" t="s">
        <v>12</v>
      </c>
      <c r="C172" s="1" t="s">
        <v>14</v>
      </c>
      <c r="D172" s="1" t="s">
        <v>39</v>
      </c>
      <c r="E172" t="s">
        <v>17</v>
      </c>
      <c r="F172" t="s">
        <v>78</v>
      </c>
      <c r="G172" t="str">
        <f>VLOOKUP(E172,Sheet1!$B$1:$D$41,2,FALSE)</f>
        <v>James</v>
      </c>
      <c r="H172" t="str">
        <f>VLOOKUP(F172,Sheet1!$B$1:$D$41,2,FALSE)</f>
        <v>Walid</v>
      </c>
      <c r="I172">
        <f>VLOOKUP(E172,Sheet1!$B$1:$D$41,3,FALSE)</f>
        <v>16280</v>
      </c>
      <c r="J172">
        <f>VLOOKUP(F172,Sheet1!$B$1:$D$41,3,FALSE)</f>
        <v>3823441</v>
      </c>
    </row>
    <row r="173" spans="1:10" x14ac:dyDescent="0.25">
      <c r="A173">
        <f>A169+1</f>
        <v>2</v>
      </c>
      <c r="B173" s="1" t="s">
        <v>12</v>
      </c>
      <c r="C173" s="1" t="s">
        <v>14</v>
      </c>
      <c r="D173" s="1" t="s">
        <v>39</v>
      </c>
      <c r="E173" t="s">
        <v>18</v>
      </c>
      <c r="F173" t="s">
        <v>16</v>
      </c>
      <c r="G173" t="str">
        <f>VLOOKUP(E173,Sheet1!$B$1:$D$41,2,FALSE)</f>
        <v>Andy</v>
      </c>
      <c r="H173" t="str">
        <f>VLOOKUP(F173,Sheet1!$B$1:$D$41,2,FALSE)</f>
        <v>Gordon</v>
      </c>
      <c r="I173">
        <f>VLOOKUP(E173,Sheet1!$B$1:$D$41,3,FALSE)</f>
        <v>36150</v>
      </c>
      <c r="J173">
        <f>VLOOKUP(F173,Sheet1!$B$1:$D$41,3,FALSE)</f>
        <v>2347381</v>
      </c>
    </row>
    <row r="174" spans="1:10" x14ac:dyDescent="0.25">
      <c r="A174">
        <f>A170+1</f>
        <v>2</v>
      </c>
      <c r="B174" s="1" t="s">
        <v>12</v>
      </c>
      <c r="C174" s="1" t="s">
        <v>14</v>
      </c>
      <c r="D174" s="1" t="s">
        <v>39</v>
      </c>
      <c r="E174" t="s">
        <v>19</v>
      </c>
      <c r="F174" t="s">
        <v>79</v>
      </c>
      <c r="G174" t="str">
        <f>VLOOKUP(E174,Sheet1!$B$1:$D$41,2,FALSE)</f>
        <v>Keith</v>
      </c>
      <c r="H174" t="str">
        <f>VLOOKUP(F174,Sheet1!$B$1:$D$41,2,FALSE)</f>
        <v>Steven</v>
      </c>
      <c r="I174">
        <f>VLOOKUP(E174,Sheet1!$B$1:$D$41,3,FALSE)</f>
        <v>3803304</v>
      </c>
      <c r="J174">
        <f>VLOOKUP(F174,Sheet1!$B$1:$D$41,3,FALSE)</f>
        <v>3824633</v>
      </c>
    </row>
    <row r="175" spans="1:10" x14ac:dyDescent="0.25">
      <c r="A175">
        <f>A171+1</f>
        <v>2</v>
      </c>
      <c r="B175" s="1" t="s">
        <v>12</v>
      </c>
      <c r="C175" s="1" t="s">
        <v>14</v>
      </c>
      <c r="D175" s="1" t="s">
        <v>39</v>
      </c>
      <c r="E175" t="s">
        <v>20</v>
      </c>
      <c r="F175" t="s">
        <v>15</v>
      </c>
      <c r="G175" t="str">
        <f>VLOOKUP(E175,Sheet1!$B$1:$D$41,2,FALSE)</f>
        <v>Simon</v>
      </c>
      <c r="H175" t="str">
        <f>VLOOKUP(F175,Sheet1!$B$1:$D$41,2,FALSE)</f>
        <v>Gavin</v>
      </c>
      <c r="I175">
        <f>VLOOKUP(E175,Sheet1!$B$1:$D$41,3,FALSE)</f>
        <v>3802409</v>
      </c>
      <c r="J175">
        <f>VLOOKUP(F175,Sheet1!$B$1:$D$41,3,FALSE)</f>
        <v>3801379</v>
      </c>
    </row>
    <row r="176" spans="1:10" x14ac:dyDescent="0.25">
      <c r="A176">
        <f>A172+1</f>
        <v>3</v>
      </c>
      <c r="B176" s="1" t="s">
        <v>12</v>
      </c>
      <c r="C176" s="1" t="s">
        <v>14</v>
      </c>
      <c r="D176" s="1" t="s">
        <v>39</v>
      </c>
      <c r="E176" t="s">
        <v>79</v>
      </c>
      <c r="F176" t="s">
        <v>17</v>
      </c>
      <c r="G176" t="str">
        <f>VLOOKUP(E176,Sheet1!$B$1:$D$41,2,FALSE)</f>
        <v>Steven</v>
      </c>
      <c r="H176" t="str">
        <f>VLOOKUP(F176,Sheet1!$B$1:$D$41,2,FALSE)</f>
        <v>James</v>
      </c>
      <c r="I176">
        <f>VLOOKUP(E176,Sheet1!$B$1:$D$41,3,FALSE)</f>
        <v>3824633</v>
      </c>
      <c r="J176">
        <f>VLOOKUP(F176,Sheet1!$B$1:$D$41,3,FALSE)</f>
        <v>16280</v>
      </c>
    </row>
    <row r="177" spans="1:10" x14ac:dyDescent="0.25">
      <c r="A177">
        <f>A173+1</f>
        <v>3</v>
      </c>
      <c r="B177" s="1" t="s">
        <v>12</v>
      </c>
      <c r="C177" s="1" t="s">
        <v>14</v>
      </c>
      <c r="D177" s="1" t="s">
        <v>39</v>
      </c>
      <c r="E177" t="s">
        <v>16</v>
      </c>
      <c r="F177" t="s">
        <v>15</v>
      </c>
      <c r="G177" t="str">
        <f>VLOOKUP(E177,Sheet1!$B$1:$D$41,2,FALSE)</f>
        <v>Gordon</v>
      </c>
      <c r="H177" t="str">
        <f>VLOOKUP(F177,Sheet1!$B$1:$D$41,2,FALSE)</f>
        <v>Gavin</v>
      </c>
      <c r="I177">
        <f>VLOOKUP(E177,Sheet1!$B$1:$D$41,3,FALSE)</f>
        <v>2347381</v>
      </c>
      <c r="J177">
        <f>VLOOKUP(F177,Sheet1!$B$1:$D$41,3,FALSE)</f>
        <v>3801379</v>
      </c>
    </row>
    <row r="178" spans="1:10" x14ac:dyDescent="0.25">
      <c r="A178">
        <f>A174+1</f>
        <v>3</v>
      </c>
      <c r="B178" s="1" t="s">
        <v>12</v>
      </c>
      <c r="C178" s="1" t="s">
        <v>14</v>
      </c>
      <c r="D178" s="1" t="s">
        <v>39</v>
      </c>
      <c r="E178" t="s">
        <v>78</v>
      </c>
      <c r="F178" t="s">
        <v>20</v>
      </c>
      <c r="G178" t="str">
        <f>VLOOKUP(E178,Sheet1!$B$1:$D$41,2,FALSE)</f>
        <v>Walid</v>
      </c>
      <c r="H178" t="str">
        <f>VLOOKUP(F178,Sheet1!$B$1:$D$41,2,FALSE)</f>
        <v>Simon</v>
      </c>
      <c r="I178">
        <f>VLOOKUP(E178,Sheet1!$B$1:$D$41,3,FALSE)</f>
        <v>3823441</v>
      </c>
      <c r="J178">
        <f>VLOOKUP(F178,Sheet1!$B$1:$D$41,3,FALSE)</f>
        <v>3802409</v>
      </c>
    </row>
    <row r="179" spans="1:10" x14ac:dyDescent="0.25">
      <c r="A179">
        <f>A175+1</f>
        <v>3</v>
      </c>
      <c r="B179" s="1" t="s">
        <v>12</v>
      </c>
      <c r="C179" s="1" t="s">
        <v>14</v>
      </c>
      <c r="D179" s="1" t="s">
        <v>39</v>
      </c>
      <c r="E179" t="s">
        <v>18</v>
      </c>
      <c r="F179" t="s">
        <v>19</v>
      </c>
      <c r="G179" t="str">
        <f>VLOOKUP(E179,Sheet1!$B$1:$D$41,2,FALSE)</f>
        <v>Andy</v>
      </c>
      <c r="H179" t="str">
        <f>VLOOKUP(F179,Sheet1!$B$1:$D$41,2,FALSE)</f>
        <v>Keith</v>
      </c>
      <c r="I179">
        <f>VLOOKUP(E179,Sheet1!$B$1:$D$41,3,FALSE)</f>
        <v>36150</v>
      </c>
      <c r="J179">
        <f>VLOOKUP(F179,Sheet1!$B$1:$D$41,3,FALSE)</f>
        <v>3803304</v>
      </c>
    </row>
    <row r="180" spans="1:10" x14ac:dyDescent="0.25">
      <c r="A180">
        <f>A176+1</f>
        <v>4</v>
      </c>
      <c r="B180" s="1" t="s">
        <v>12</v>
      </c>
      <c r="C180" s="1" t="s">
        <v>14</v>
      </c>
      <c r="D180" s="1" t="s">
        <v>39</v>
      </c>
      <c r="E180" t="s">
        <v>17</v>
      </c>
      <c r="F180" t="s">
        <v>18</v>
      </c>
      <c r="G180" t="str">
        <f>VLOOKUP(E180,Sheet1!$B$1:$D$41,2,FALSE)</f>
        <v>James</v>
      </c>
      <c r="H180" t="str">
        <f>VLOOKUP(F180,Sheet1!$B$1:$D$41,2,FALSE)</f>
        <v>Andy</v>
      </c>
      <c r="I180">
        <f>VLOOKUP(E180,Sheet1!$B$1:$D$41,3,FALSE)</f>
        <v>16280</v>
      </c>
      <c r="J180">
        <f>VLOOKUP(F180,Sheet1!$B$1:$D$41,3,FALSE)</f>
        <v>36150</v>
      </c>
    </row>
    <row r="181" spans="1:10" x14ac:dyDescent="0.25">
      <c r="A181">
        <f>A177+1</f>
        <v>4</v>
      </c>
      <c r="B181" s="1" t="s">
        <v>12</v>
      </c>
      <c r="C181" s="1" t="s">
        <v>14</v>
      </c>
      <c r="D181" s="1" t="s">
        <v>39</v>
      </c>
      <c r="E181" t="s">
        <v>19</v>
      </c>
      <c r="F181" t="s">
        <v>78</v>
      </c>
      <c r="G181" t="str">
        <f>VLOOKUP(E181,Sheet1!$B$1:$D$41,2,FALSE)</f>
        <v>Keith</v>
      </c>
      <c r="H181" t="str">
        <f>VLOOKUP(F181,Sheet1!$B$1:$D$41,2,FALSE)</f>
        <v>Walid</v>
      </c>
      <c r="I181">
        <f>VLOOKUP(E181,Sheet1!$B$1:$D$41,3,FALSE)</f>
        <v>3803304</v>
      </c>
      <c r="J181">
        <f>VLOOKUP(F181,Sheet1!$B$1:$D$41,3,FALSE)</f>
        <v>3823441</v>
      </c>
    </row>
    <row r="182" spans="1:10" x14ac:dyDescent="0.25">
      <c r="A182">
        <f>A178+1</f>
        <v>4</v>
      </c>
      <c r="B182" s="1" t="s">
        <v>12</v>
      </c>
      <c r="C182" s="1" t="s">
        <v>14</v>
      </c>
      <c r="D182" s="1" t="s">
        <v>39</v>
      </c>
      <c r="E182" t="s">
        <v>20</v>
      </c>
      <c r="F182" t="s">
        <v>16</v>
      </c>
      <c r="G182" t="str">
        <f>VLOOKUP(E182,Sheet1!$B$1:$D$41,2,FALSE)</f>
        <v>Simon</v>
      </c>
      <c r="H182" t="str">
        <f>VLOOKUP(F182,Sheet1!$B$1:$D$41,2,FALSE)</f>
        <v>Gordon</v>
      </c>
      <c r="I182">
        <f>VLOOKUP(E182,Sheet1!$B$1:$D$41,3,FALSE)</f>
        <v>3802409</v>
      </c>
      <c r="J182">
        <f>VLOOKUP(F182,Sheet1!$B$1:$D$41,3,FALSE)</f>
        <v>2347381</v>
      </c>
    </row>
    <row r="183" spans="1:10" x14ac:dyDescent="0.25">
      <c r="A183">
        <f>A179+1</f>
        <v>4</v>
      </c>
      <c r="B183" s="1" t="s">
        <v>12</v>
      </c>
      <c r="C183" s="1" t="s">
        <v>14</v>
      </c>
      <c r="D183" s="1" t="s">
        <v>39</v>
      </c>
      <c r="E183" t="s">
        <v>15</v>
      </c>
      <c r="F183" t="s">
        <v>79</v>
      </c>
      <c r="G183" t="str">
        <f>VLOOKUP(E183,Sheet1!$B$1:$D$41,2,FALSE)</f>
        <v>Gavin</v>
      </c>
      <c r="H183" t="str">
        <f>VLOOKUP(F183,Sheet1!$B$1:$D$41,2,FALSE)</f>
        <v>Steven</v>
      </c>
      <c r="I183">
        <f>VLOOKUP(E183,Sheet1!$B$1:$D$41,3,FALSE)</f>
        <v>3801379</v>
      </c>
      <c r="J183">
        <f>VLOOKUP(F183,Sheet1!$B$1:$D$41,3,FALSE)</f>
        <v>3824633</v>
      </c>
    </row>
    <row r="184" spans="1:10" x14ac:dyDescent="0.25">
      <c r="A184">
        <f>A180+1</f>
        <v>5</v>
      </c>
      <c r="B184" s="1" t="s">
        <v>12</v>
      </c>
      <c r="C184" s="1" t="s">
        <v>14</v>
      </c>
      <c r="D184" s="1" t="s">
        <v>39</v>
      </c>
      <c r="E184" t="s">
        <v>16</v>
      </c>
      <c r="F184" t="s">
        <v>17</v>
      </c>
      <c r="G184" t="str">
        <f>VLOOKUP(E184,Sheet1!$B$1:$D$41,2,FALSE)</f>
        <v>Gordon</v>
      </c>
      <c r="H184" t="str">
        <f>VLOOKUP(F184,Sheet1!$B$1:$D$41,2,FALSE)</f>
        <v>James</v>
      </c>
      <c r="I184">
        <f>VLOOKUP(E184,Sheet1!$B$1:$D$41,3,FALSE)</f>
        <v>2347381</v>
      </c>
      <c r="J184">
        <f>VLOOKUP(F184,Sheet1!$B$1:$D$41,3,FALSE)</f>
        <v>16280</v>
      </c>
    </row>
    <row r="185" spans="1:10" x14ac:dyDescent="0.25">
      <c r="A185">
        <f>A181+1</f>
        <v>5</v>
      </c>
      <c r="B185" s="1" t="s">
        <v>12</v>
      </c>
      <c r="C185" s="1" t="s">
        <v>14</v>
      </c>
      <c r="D185" s="1" t="s">
        <v>39</v>
      </c>
      <c r="E185" t="s">
        <v>78</v>
      </c>
      <c r="F185" t="s">
        <v>79</v>
      </c>
      <c r="G185" t="str">
        <f>VLOOKUP(E185,Sheet1!$B$1:$D$41,2,FALSE)</f>
        <v>Walid</v>
      </c>
      <c r="H185" t="str">
        <f>VLOOKUP(F185,Sheet1!$B$1:$D$41,2,FALSE)</f>
        <v>Steven</v>
      </c>
      <c r="I185">
        <f>VLOOKUP(E185,Sheet1!$B$1:$D$41,3,FALSE)</f>
        <v>3823441</v>
      </c>
      <c r="J185">
        <f>VLOOKUP(F185,Sheet1!$B$1:$D$41,3,FALSE)</f>
        <v>3824633</v>
      </c>
    </row>
    <row r="186" spans="1:10" x14ac:dyDescent="0.25">
      <c r="A186">
        <f>A182+1</f>
        <v>5</v>
      </c>
      <c r="B186" s="1" t="s">
        <v>12</v>
      </c>
      <c r="C186" s="1" t="s">
        <v>14</v>
      </c>
      <c r="D186" s="1" t="s">
        <v>39</v>
      </c>
      <c r="E186" t="s">
        <v>18</v>
      </c>
      <c r="F186" t="s">
        <v>15</v>
      </c>
      <c r="G186" t="str">
        <f>VLOOKUP(E186,Sheet1!$B$1:$D$41,2,FALSE)</f>
        <v>Andy</v>
      </c>
      <c r="H186" t="str">
        <f>VLOOKUP(F186,Sheet1!$B$1:$D$41,2,FALSE)</f>
        <v>Gavin</v>
      </c>
      <c r="I186">
        <f>VLOOKUP(E186,Sheet1!$B$1:$D$41,3,FALSE)</f>
        <v>36150</v>
      </c>
      <c r="J186">
        <f>VLOOKUP(F186,Sheet1!$B$1:$D$41,3,FALSE)</f>
        <v>3801379</v>
      </c>
    </row>
    <row r="187" spans="1:10" x14ac:dyDescent="0.25">
      <c r="A187">
        <f>A183+1</f>
        <v>5</v>
      </c>
      <c r="B187" s="1" t="s">
        <v>12</v>
      </c>
      <c r="C187" s="1" t="s">
        <v>14</v>
      </c>
      <c r="D187" s="1" t="s">
        <v>39</v>
      </c>
      <c r="E187" t="s">
        <v>19</v>
      </c>
      <c r="F187" t="s">
        <v>20</v>
      </c>
      <c r="G187" t="str">
        <f>VLOOKUP(E187,Sheet1!$B$1:$D$41,2,FALSE)</f>
        <v>Keith</v>
      </c>
      <c r="H187" t="str">
        <f>VLOOKUP(F187,Sheet1!$B$1:$D$41,2,FALSE)</f>
        <v>Simon</v>
      </c>
      <c r="I187">
        <f>VLOOKUP(E187,Sheet1!$B$1:$D$41,3,FALSE)</f>
        <v>3803304</v>
      </c>
      <c r="J187">
        <f>VLOOKUP(F187,Sheet1!$B$1:$D$41,3,FALSE)</f>
        <v>3802409</v>
      </c>
    </row>
    <row r="188" spans="1:10" x14ac:dyDescent="0.25">
      <c r="A188">
        <f>A184+1</f>
        <v>6</v>
      </c>
      <c r="B188" s="1" t="s">
        <v>12</v>
      </c>
      <c r="C188" s="1" t="s">
        <v>14</v>
      </c>
      <c r="D188" s="1" t="s">
        <v>39</v>
      </c>
      <c r="E188" t="s">
        <v>17</v>
      </c>
      <c r="F188" t="s">
        <v>19</v>
      </c>
      <c r="G188" t="str">
        <f>VLOOKUP(E188,Sheet1!$B$1:$D$41,2,FALSE)</f>
        <v>James</v>
      </c>
      <c r="H188" t="str">
        <f>VLOOKUP(F188,Sheet1!$B$1:$D$41,2,FALSE)</f>
        <v>Keith</v>
      </c>
      <c r="I188">
        <f>VLOOKUP(E188,Sheet1!$B$1:$D$41,3,FALSE)</f>
        <v>16280</v>
      </c>
      <c r="J188">
        <f>VLOOKUP(F188,Sheet1!$B$1:$D$41,3,FALSE)</f>
        <v>3803304</v>
      </c>
    </row>
    <row r="189" spans="1:10" x14ac:dyDescent="0.25">
      <c r="A189">
        <f>A185+1</f>
        <v>6</v>
      </c>
      <c r="B189" s="1" t="s">
        <v>12</v>
      </c>
      <c r="C189" s="1" t="s">
        <v>14</v>
      </c>
      <c r="D189" s="1" t="s">
        <v>39</v>
      </c>
      <c r="E189" t="s">
        <v>20</v>
      </c>
      <c r="F189" t="s">
        <v>18</v>
      </c>
      <c r="G189" t="str">
        <f>VLOOKUP(E189,Sheet1!$B$1:$D$41,2,FALSE)</f>
        <v>Simon</v>
      </c>
      <c r="H189" t="str">
        <f>VLOOKUP(F189,Sheet1!$B$1:$D$41,2,FALSE)</f>
        <v>Andy</v>
      </c>
      <c r="I189">
        <f>VLOOKUP(E189,Sheet1!$B$1:$D$41,3,FALSE)</f>
        <v>3802409</v>
      </c>
      <c r="J189">
        <f>VLOOKUP(F189,Sheet1!$B$1:$D$41,3,FALSE)</f>
        <v>36150</v>
      </c>
    </row>
    <row r="190" spans="1:10" x14ac:dyDescent="0.25">
      <c r="A190">
        <f>A186+1</f>
        <v>6</v>
      </c>
      <c r="B190" s="1" t="s">
        <v>12</v>
      </c>
      <c r="C190" s="1" t="s">
        <v>14</v>
      </c>
      <c r="D190" s="1" t="s">
        <v>39</v>
      </c>
      <c r="E190" t="s">
        <v>15</v>
      </c>
      <c r="F190" t="s">
        <v>78</v>
      </c>
      <c r="G190" t="str">
        <f>VLOOKUP(E190,Sheet1!$B$1:$D$41,2,FALSE)</f>
        <v>Gavin</v>
      </c>
      <c r="H190" t="str">
        <f>VLOOKUP(F190,Sheet1!$B$1:$D$41,2,FALSE)</f>
        <v>Walid</v>
      </c>
      <c r="I190">
        <f>VLOOKUP(E190,Sheet1!$B$1:$D$41,3,FALSE)</f>
        <v>3801379</v>
      </c>
      <c r="J190">
        <f>VLOOKUP(F190,Sheet1!$B$1:$D$41,3,FALSE)</f>
        <v>3823441</v>
      </c>
    </row>
    <row r="191" spans="1:10" x14ac:dyDescent="0.25">
      <c r="A191">
        <f>A187+1</f>
        <v>6</v>
      </c>
      <c r="B191" s="1" t="s">
        <v>12</v>
      </c>
      <c r="C191" s="1" t="s">
        <v>14</v>
      </c>
      <c r="D191" s="1" t="s">
        <v>39</v>
      </c>
      <c r="E191" t="s">
        <v>79</v>
      </c>
      <c r="F191" t="s">
        <v>16</v>
      </c>
      <c r="G191" t="str">
        <f>VLOOKUP(E191,Sheet1!$B$1:$D$41,2,FALSE)</f>
        <v>Steven</v>
      </c>
      <c r="H191" t="str">
        <f>VLOOKUP(F191,Sheet1!$B$1:$D$41,2,FALSE)</f>
        <v>Gordon</v>
      </c>
      <c r="I191">
        <f>VLOOKUP(E191,Sheet1!$B$1:$D$41,3,FALSE)</f>
        <v>3824633</v>
      </c>
      <c r="J191">
        <f>VLOOKUP(F191,Sheet1!$B$1:$D$41,3,FALSE)</f>
        <v>2347381</v>
      </c>
    </row>
    <row r="192" spans="1:10" x14ac:dyDescent="0.25">
      <c r="A192">
        <f>A188+1</f>
        <v>7</v>
      </c>
      <c r="B192" s="1" t="s">
        <v>12</v>
      </c>
      <c r="C192" s="1" t="s">
        <v>14</v>
      </c>
      <c r="D192" s="1" t="s">
        <v>39</v>
      </c>
      <c r="E192" t="s">
        <v>20</v>
      </c>
      <c r="F192" t="s">
        <v>17</v>
      </c>
      <c r="G192" t="str">
        <f>VLOOKUP(E192,Sheet1!$B$1:$D$41,2,FALSE)</f>
        <v>Simon</v>
      </c>
      <c r="H192" t="str">
        <f>VLOOKUP(F192,Sheet1!$B$1:$D$41,2,FALSE)</f>
        <v>James</v>
      </c>
      <c r="I192">
        <f>VLOOKUP(E192,Sheet1!$B$1:$D$41,3,FALSE)</f>
        <v>3802409</v>
      </c>
      <c r="J192">
        <f>VLOOKUP(F192,Sheet1!$B$1:$D$41,3,FALSE)</f>
        <v>16280</v>
      </c>
    </row>
    <row r="193" spans="1:10" x14ac:dyDescent="0.25">
      <c r="A193">
        <f>A189+1</f>
        <v>7</v>
      </c>
      <c r="B193" s="1" t="s">
        <v>12</v>
      </c>
      <c r="C193" s="1" t="s">
        <v>14</v>
      </c>
      <c r="D193" s="1" t="s">
        <v>39</v>
      </c>
      <c r="E193" t="s">
        <v>15</v>
      </c>
      <c r="F193" t="s">
        <v>19</v>
      </c>
      <c r="G193" t="str">
        <f>VLOOKUP(E193,Sheet1!$B$1:$D$41,2,FALSE)</f>
        <v>Gavin</v>
      </c>
      <c r="H193" t="str">
        <f>VLOOKUP(F193,Sheet1!$B$1:$D$41,2,FALSE)</f>
        <v>Keith</v>
      </c>
      <c r="I193">
        <f>VLOOKUP(E193,Sheet1!$B$1:$D$41,3,FALSE)</f>
        <v>3801379</v>
      </c>
      <c r="J193">
        <f>VLOOKUP(F193,Sheet1!$B$1:$D$41,3,FALSE)</f>
        <v>3803304</v>
      </c>
    </row>
    <row r="194" spans="1:10" x14ac:dyDescent="0.25">
      <c r="A194">
        <f>A190+1</f>
        <v>7</v>
      </c>
      <c r="B194" s="1" t="s">
        <v>12</v>
      </c>
      <c r="C194" s="1" t="s">
        <v>14</v>
      </c>
      <c r="D194" s="1" t="s">
        <v>39</v>
      </c>
      <c r="E194" t="s">
        <v>79</v>
      </c>
      <c r="F194" t="s">
        <v>18</v>
      </c>
      <c r="G194" t="str">
        <f>VLOOKUP(E194,Sheet1!$B$1:$D$41,2,FALSE)</f>
        <v>Steven</v>
      </c>
      <c r="H194" t="str">
        <f>VLOOKUP(F194,Sheet1!$B$1:$D$41,2,FALSE)</f>
        <v>Andy</v>
      </c>
      <c r="I194">
        <f>VLOOKUP(E194,Sheet1!$B$1:$D$41,3,FALSE)</f>
        <v>3824633</v>
      </c>
      <c r="J194">
        <f>VLOOKUP(F194,Sheet1!$B$1:$D$41,3,FALSE)</f>
        <v>36150</v>
      </c>
    </row>
    <row r="195" spans="1:10" x14ac:dyDescent="0.25">
      <c r="A195">
        <f>A191+1</f>
        <v>7</v>
      </c>
      <c r="B195" s="1" t="s">
        <v>12</v>
      </c>
      <c r="C195" s="1" t="s">
        <v>14</v>
      </c>
      <c r="D195" s="1" t="s">
        <v>39</v>
      </c>
      <c r="E195" t="s">
        <v>16</v>
      </c>
      <c r="F195" t="s">
        <v>78</v>
      </c>
      <c r="G195" t="str">
        <f>VLOOKUP(E195,Sheet1!$B$1:$D$41,2,FALSE)</f>
        <v>Gordon</v>
      </c>
      <c r="H195" t="str">
        <f>VLOOKUP(F195,Sheet1!$B$1:$D$41,2,FALSE)</f>
        <v>Walid</v>
      </c>
      <c r="I195">
        <f>VLOOKUP(E195,Sheet1!$B$1:$D$41,3,FALSE)</f>
        <v>2347381</v>
      </c>
      <c r="J195">
        <f>VLOOKUP(F195,Sheet1!$B$1:$D$41,3,FALSE)</f>
        <v>3823441</v>
      </c>
    </row>
    <row r="196" spans="1:10" x14ac:dyDescent="0.25">
      <c r="A196">
        <f>A192+1</f>
        <v>8</v>
      </c>
      <c r="B196" s="1" t="s">
        <v>12</v>
      </c>
      <c r="C196" s="1" t="s">
        <v>14</v>
      </c>
      <c r="D196" s="1" t="s">
        <v>39</v>
      </c>
      <c r="E196" t="s">
        <v>15</v>
      </c>
      <c r="F196" t="s">
        <v>17</v>
      </c>
      <c r="G196" t="str">
        <f>VLOOKUP(E196,Sheet1!$B$1:$D$41,2,FALSE)</f>
        <v>Gavin</v>
      </c>
      <c r="H196" t="str">
        <f>VLOOKUP(F196,Sheet1!$B$1:$D$41,2,FALSE)</f>
        <v>James</v>
      </c>
      <c r="I196">
        <f>VLOOKUP(E196,Sheet1!$B$1:$D$41,3,FALSE)</f>
        <v>3801379</v>
      </c>
      <c r="J196">
        <f>VLOOKUP(F196,Sheet1!$B$1:$D$41,3,FALSE)</f>
        <v>16280</v>
      </c>
    </row>
    <row r="197" spans="1:10" x14ac:dyDescent="0.25">
      <c r="A197">
        <f>A193+1</f>
        <v>8</v>
      </c>
      <c r="B197" s="1" t="s">
        <v>12</v>
      </c>
      <c r="C197" s="1" t="s">
        <v>14</v>
      </c>
      <c r="D197" s="1" t="s">
        <v>39</v>
      </c>
      <c r="E197" t="s">
        <v>79</v>
      </c>
      <c r="F197" t="s">
        <v>20</v>
      </c>
      <c r="G197" t="str">
        <f>VLOOKUP(E197,Sheet1!$B$1:$D$41,2,FALSE)</f>
        <v>Steven</v>
      </c>
      <c r="H197" t="str">
        <f>VLOOKUP(F197,Sheet1!$B$1:$D$41,2,FALSE)</f>
        <v>Simon</v>
      </c>
      <c r="I197">
        <f>VLOOKUP(E197,Sheet1!$B$1:$D$41,3,FALSE)</f>
        <v>3824633</v>
      </c>
      <c r="J197">
        <f>VLOOKUP(F197,Sheet1!$B$1:$D$41,3,FALSE)</f>
        <v>3802409</v>
      </c>
    </row>
    <row r="198" spans="1:10" x14ac:dyDescent="0.25">
      <c r="A198">
        <f>A194+1</f>
        <v>8</v>
      </c>
      <c r="B198" s="1" t="s">
        <v>12</v>
      </c>
      <c r="C198" s="1" t="s">
        <v>14</v>
      </c>
      <c r="D198" s="1" t="s">
        <v>39</v>
      </c>
      <c r="E198" t="s">
        <v>16</v>
      </c>
      <c r="F198" t="s">
        <v>19</v>
      </c>
      <c r="G198" t="str">
        <f>VLOOKUP(E198,Sheet1!$B$1:$D$41,2,FALSE)</f>
        <v>Gordon</v>
      </c>
      <c r="H198" t="str">
        <f>VLOOKUP(F198,Sheet1!$B$1:$D$41,2,FALSE)</f>
        <v>Keith</v>
      </c>
      <c r="I198">
        <f>VLOOKUP(E198,Sheet1!$B$1:$D$41,3,FALSE)</f>
        <v>2347381</v>
      </c>
      <c r="J198">
        <f>VLOOKUP(F198,Sheet1!$B$1:$D$41,3,FALSE)</f>
        <v>3803304</v>
      </c>
    </row>
    <row r="199" spans="1:10" x14ac:dyDescent="0.25">
      <c r="A199">
        <f>A195+1</f>
        <v>8</v>
      </c>
      <c r="B199" s="1" t="s">
        <v>12</v>
      </c>
      <c r="C199" s="1" t="s">
        <v>14</v>
      </c>
      <c r="D199" s="1" t="s">
        <v>39</v>
      </c>
      <c r="E199" t="s">
        <v>78</v>
      </c>
      <c r="F199" t="s">
        <v>18</v>
      </c>
      <c r="G199" t="str">
        <f>VLOOKUP(E199,Sheet1!$B$1:$D$41,2,FALSE)</f>
        <v>Walid</v>
      </c>
      <c r="H199" t="str">
        <f>VLOOKUP(F199,Sheet1!$B$1:$D$41,2,FALSE)</f>
        <v>Andy</v>
      </c>
      <c r="I199">
        <f>VLOOKUP(E199,Sheet1!$B$1:$D$41,3,FALSE)</f>
        <v>3823441</v>
      </c>
      <c r="J199">
        <f>VLOOKUP(F199,Sheet1!$B$1:$D$41,3,FALSE)</f>
        <v>36150</v>
      </c>
    </row>
    <row r="200" spans="1:10" x14ac:dyDescent="0.25">
      <c r="A200">
        <f>A196+1</f>
        <v>9</v>
      </c>
      <c r="B200" s="1" t="s">
        <v>12</v>
      </c>
      <c r="C200" s="1" t="s">
        <v>14</v>
      </c>
      <c r="D200" s="1" t="s">
        <v>39</v>
      </c>
      <c r="E200" t="s">
        <v>17</v>
      </c>
      <c r="F200" t="s">
        <v>78</v>
      </c>
      <c r="G200" t="str">
        <f>VLOOKUP(E200,Sheet1!$B$1:$D$41,2,FALSE)</f>
        <v>James</v>
      </c>
      <c r="H200" t="str">
        <f>VLOOKUP(F200,Sheet1!$B$1:$D$41,2,FALSE)</f>
        <v>Walid</v>
      </c>
      <c r="I200">
        <f>VLOOKUP(E200,Sheet1!$B$1:$D$41,3,FALSE)</f>
        <v>16280</v>
      </c>
      <c r="J200">
        <f>VLOOKUP(F200,Sheet1!$B$1:$D$41,3,FALSE)</f>
        <v>3823441</v>
      </c>
    </row>
    <row r="201" spans="1:10" x14ac:dyDescent="0.25">
      <c r="A201">
        <f>A197+1</f>
        <v>9</v>
      </c>
      <c r="B201" s="1" t="s">
        <v>12</v>
      </c>
      <c r="C201" s="1" t="s">
        <v>14</v>
      </c>
      <c r="D201" s="1" t="s">
        <v>39</v>
      </c>
      <c r="E201" t="s">
        <v>18</v>
      </c>
      <c r="F201" t="s">
        <v>16</v>
      </c>
      <c r="G201" t="str">
        <f>VLOOKUP(E201,Sheet1!$B$1:$D$41,2,FALSE)</f>
        <v>Andy</v>
      </c>
      <c r="H201" t="str">
        <f>VLOOKUP(F201,Sheet1!$B$1:$D$41,2,FALSE)</f>
        <v>Gordon</v>
      </c>
      <c r="I201">
        <f>VLOOKUP(E201,Sheet1!$B$1:$D$41,3,FALSE)</f>
        <v>36150</v>
      </c>
      <c r="J201">
        <f>VLOOKUP(F201,Sheet1!$B$1:$D$41,3,FALSE)</f>
        <v>2347381</v>
      </c>
    </row>
    <row r="202" spans="1:10" x14ac:dyDescent="0.25">
      <c r="A202">
        <f>A198+1</f>
        <v>9</v>
      </c>
      <c r="B202" s="1" t="s">
        <v>12</v>
      </c>
      <c r="C202" s="1" t="s">
        <v>14</v>
      </c>
      <c r="D202" s="1" t="s">
        <v>39</v>
      </c>
      <c r="E202" t="s">
        <v>19</v>
      </c>
      <c r="F202" t="s">
        <v>79</v>
      </c>
      <c r="G202" t="str">
        <f>VLOOKUP(E202,Sheet1!$B$1:$D$41,2,FALSE)</f>
        <v>Keith</v>
      </c>
      <c r="H202" t="str">
        <f>VLOOKUP(F202,Sheet1!$B$1:$D$41,2,FALSE)</f>
        <v>Steven</v>
      </c>
      <c r="I202">
        <f>VLOOKUP(E202,Sheet1!$B$1:$D$41,3,FALSE)</f>
        <v>3803304</v>
      </c>
      <c r="J202">
        <f>VLOOKUP(F202,Sheet1!$B$1:$D$41,3,FALSE)</f>
        <v>3824633</v>
      </c>
    </row>
    <row r="203" spans="1:10" x14ac:dyDescent="0.25">
      <c r="A203">
        <f>A199+1</f>
        <v>9</v>
      </c>
      <c r="B203" s="1" t="s">
        <v>12</v>
      </c>
      <c r="C203" s="1" t="s">
        <v>14</v>
      </c>
      <c r="D203" s="1" t="s">
        <v>39</v>
      </c>
      <c r="E203" t="s">
        <v>20</v>
      </c>
      <c r="F203" t="s">
        <v>15</v>
      </c>
      <c r="G203" t="str">
        <f>VLOOKUP(E203,Sheet1!$B$1:$D$41,2,FALSE)</f>
        <v>Simon</v>
      </c>
      <c r="H203" t="str">
        <f>VLOOKUP(F203,Sheet1!$B$1:$D$41,2,FALSE)</f>
        <v>Gavin</v>
      </c>
      <c r="I203">
        <f>VLOOKUP(E203,Sheet1!$B$1:$D$41,3,FALSE)</f>
        <v>3802409</v>
      </c>
      <c r="J203">
        <f>VLOOKUP(F203,Sheet1!$B$1:$D$41,3,FALSE)</f>
        <v>3801379</v>
      </c>
    </row>
    <row r="204" spans="1:10" x14ac:dyDescent="0.25">
      <c r="A204">
        <f>A200+1</f>
        <v>10</v>
      </c>
      <c r="B204" s="1" t="s">
        <v>12</v>
      </c>
      <c r="C204" s="1" t="s">
        <v>14</v>
      </c>
      <c r="D204" s="1" t="s">
        <v>39</v>
      </c>
      <c r="E204" t="s">
        <v>79</v>
      </c>
      <c r="F204" t="s">
        <v>17</v>
      </c>
      <c r="G204" t="str">
        <f>VLOOKUP(E204,Sheet1!$B$1:$D$41,2,FALSE)</f>
        <v>Steven</v>
      </c>
      <c r="H204" t="str">
        <f>VLOOKUP(F204,Sheet1!$B$1:$D$41,2,FALSE)</f>
        <v>James</v>
      </c>
      <c r="I204">
        <f>VLOOKUP(E204,Sheet1!$B$1:$D$41,3,FALSE)</f>
        <v>3824633</v>
      </c>
      <c r="J204">
        <f>VLOOKUP(F204,Sheet1!$B$1:$D$41,3,FALSE)</f>
        <v>16280</v>
      </c>
    </row>
    <row r="205" spans="1:10" x14ac:dyDescent="0.25">
      <c r="A205">
        <f>A201+1</f>
        <v>10</v>
      </c>
      <c r="B205" s="1" t="s">
        <v>12</v>
      </c>
      <c r="C205" s="1" t="s">
        <v>14</v>
      </c>
      <c r="D205" s="1" t="s">
        <v>39</v>
      </c>
      <c r="E205" t="s">
        <v>16</v>
      </c>
      <c r="F205" t="s">
        <v>15</v>
      </c>
      <c r="G205" t="str">
        <f>VLOOKUP(E205,Sheet1!$B$1:$D$41,2,FALSE)</f>
        <v>Gordon</v>
      </c>
      <c r="H205" t="str">
        <f>VLOOKUP(F205,Sheet1!$B$1:$D$41,2,FALSE)</f>
        <v>Gavin</v>
      </c>
      <c r="I205">
        <f>VLOOKUP(E205,Sheet1!$B$1:$D$41,3,FALSE)</f>
        <v>2347381</v>
      </c>
      <c r="J205">
        <f>VLOOKUP(F205,Sheet1!$B$1:$D$41,3,FALSE)</f>
        <v>3801379</v>
      </c>
    </row>
    <row r="206" spans="1:10" x14ac:dyDescent="0.25">
      <c r="A206">
        <f>A202+1</f>
        <v>10</v>
      </c>
      <c r="B206" s="1" t="s">
        <v>12</v>
      </c>
      <c r="C206" s="1" t="s">
        <v>14</v>
      </c>
      <c r="D206" s="1" t="s">
        <v>39</v>
      </c>
      <c r="E206" t="s">
        <v>78</v>
      </c>
      <c r="F206" t="s">
        <v>20</v>
      </c>
      <c r="G206" t="str">
        <f>VLOOKUP(E206,Sheet1!$B$1:$D$41,2,FALSE)</f>
        <v>Walid</v>
      </c>
      <c r="H206" t="str">
        <f>VLOOKUP(F206,Sheet1!$B$1:$D$41,2,FALSE)</f>
        <v>Simon</v>
      </c>
      <c r="I206">
        <f>VLOOKUP(E206,Sheet1!$B$1:$D$41,3,FALSE)</f>
        <v>3823441</v>
      </c>
      <c r="J206">
        <f>VLOOKUP(F206,Sheet1!$B$1:$D$41,3,FALSE)</f>
        <v>3802409</v>
      </c>
    </row>
    <row r="207" spans="1:10" x14ac:dyDescent="0.25">
      <c r="A207">
        <f>A203+1</f>
        <v>10</v>
      </c>
      <c r="B207" s="1" t="s">
        <v>12</v>
      </c>
      <c r="C207" s="1" t="s">
        <v>14</v>
      </c>
      <c r="D207" s="1" t="s">
        <v>39</v>
      </c>
      <c r="E207" t="s">
        <v>18</v>
      </c>
      <c r="F207" t="s">
        <v>19</v>
      </c>
      <c r="G207" t="str">
        <f>VLOOKUP(E207,Sheet1!$B$1:$D$41,2,FALSE)</f>
        <v>Andy</v>
      </c>
      <c r="H207" t="str">
        <f>VLOOKUP(F207,Sheet1!$B$1:$D$41,2,FALSE)</f>
        <v>Keith</v>
      </c>
      <c r="I207">
        <f>VLOOKUP(E207,Sheet1!$B$1:$D$41,3,FALSE)</f>
        <v>36150</v>
      </c>
      <c r="J207">
        <f>VLOOKUP(F207,Sheet1!$B$1:$D$41,3,FALSE)</f>
        <v>3803304</v>
      </c>
    </row>
    <row r="208" spans="1:10" x14ac:dyDescent="0.25">
      <c r="A208">
        <f>A204+1</f>
        <v>11</v>
      </c>
      <c r="B208" s="1" t="s">
        <v>12</v>
      </c>
      <c r="C208" s="1" t="s">
        <v>14</v>
      </c>
      <c r="D208" s="1" t="s">
        <v>39</v>
      </c>
      <c r="E208" t="s">
        <v>17</v>
      </c>
      <c r="F208" t="s">
        <v>18</v>
      </c>
      <c r="G208" t="str">
        <f>VLOOKUP(E208,Sheet1!$B$1:$D$41,2,FALSE)</f>
        <v>James</v>
      </c>
      <c r="H208" t="str">
        <f>VLOOKUP(F208,Sheet1!$B$1:$D$41,2,FALSE)</f>
        <v>Andy</v>
      </c>
      <c r="I208">
        <f>VLOOKUP(E208,Sheet1!$B$1:$D$41,3,FALSE)</f>
        <v>16280</v>
      </c>
      <c r="J208">
        <f>VLOOKUP(F208,Sheet1!$B$1:$D$41,3,FALSE)</f>
        <v>36150</v>
      </c>
    </row>
    <row r="209" spans="1:10" x14ac:dyDescent="0.25">
      <c r="A209">
        <f>A205+1</f>
        <v>11</v>
      </c>
      <c r="B209" s="1" t="s">
        <v>12</v>
      </c>
      <c r="C209" s="1" t="s">
        <v>14</v>
      </c>
      <c r="D209" s="1" t="s">
        <v>39</v>
      </c>
      <c r="E209" t="s">
        <v>19</v>
      </c>
      <c r="F209" t="s">
        <v>78</v>
      </c>
      <c r="G209" t="str">
        <f>VLOOKUP(E209,Sheet1!$B$1:$D$41,2,FALSE)</f>
        <v>Keith</v>
      </c>
      <c r="H209" t="str">
        <f>VLOOKUP(F209,Sheet1!$B$1:$D$41,2,FALSE)</f>
        <v>Walid</v>
      </c>
      <c r="I209">
        <f>VLOOKUP(E209,Sheet1!$B$1:$D$41,3,FALSE)</f>
        <v>3803304</v>
      </c>
      <c r="J209">
        <f>VLOOKUP(F209,Sheet1!$B$1:$D$41,3,FALSE)</f>
        <v>3823441</v>
      </c>
    </row>
    <row r="210" spans="1:10" x14ac:dyDescent="0.25">
      <c r="A210">
        <f>A206+1</f>
        <v>11</v>
      </c>
      <c r="B210" s="1" t="s">
        <v>12</v>
      </c>
      <c r="C210" s="1" t="s">
        <v>14</v>
      </c>
      <c r="D210" s="1" t="s">
        <v>39</v>
      </c>
      <c r="E210" t="s">
        <v>20</v>
      </c>
      <c r="F210" t="s">
        <v>16</v>
      </c>
      <c r="G210" t="str">
        <f>VLOOKUP(E210,Sheet1!$B$1:$D$41,2,FALSE)</f>
        <v>Simon</v>
      </c>
      <c r="H210" t="str">
        <f>VLOOKUP(F210,Sheet1!$B$1:$D$41,2,FALSE)</f>
        <v>Gordon</v>
      </c>
      <c r="I210">
        <f>VLOOKUP(E210,Sheet1!$B$1:$D$41,3,FALSE)</f>
        <v>3802409</v>
      </c>
      <c r="J210">
        <f>VLOOKUP(F210,Sheet1!$B$1:$D$41,3,FALSE)</f>
        <v>2347381</v>
      </c>
    </row>
    <row r="211" spans="1:10" x14ac:dyDescent="0.25">
      <c r="A211">
        <f>A207+1</f>
        <v>11</v>
      </c>
      <c r="B211" s="1" t="s">
        <v>12</v>
      </c>
      <c r="C211" s="1" t="s">
        <v>14</v>
      </c>
      <c r="D211" s="1" t="s">
        <v>39</v>
      </c>
      <c r="E211" t="s">
        <v>15</v>
      </c>
      <c r="F211" t="s">
        <v>79</v>
      </c>
      <c r="G211" t="str">
        <f>VLOOKUP(E211,Sheet1!$B$1:$D$41,2,FALSE)</f>
        <v>Gavin</v>
      </c>
      <c r="H211" t="str">
        <f>VLOOKUP(F211,Sheet1!$B$1:$D$41,2,FALSE)</f>
        <v>Steven</v>
      </c>
      <c r="I211">
        <f>VLOOKUP(E211,Sheet1!$B$1:$D$41,3,FALSE)</f>
        <v>3801379</v>
      </c>
      <c r="J211">
        <f>VLOOKUP(F211,Sheet1!$B$1:$D$41,3,FALSE)</f>
        <v>3824633</v>
      </c>
    </row>
    <row r="212" spans="1:10" x14ac:dyDescent="0.25">
      <c r="A212">
        <f>A208+1</f>
        <v>12</v>
      </c>
      <c r="B212" s="1" t="s">
        <v>12</v>
      </c>
      <c r="C212" s="1" t="s">
        <v>14</v>
      </c>
      <c r="D212" s="1" t="s">
        <v>39</v>
      </c>
      <c r="E212" t="s">
        <v>16</v>
      </c>
      <c r="F212" t="s">
        <v>17</v>
      </c>
      <c r="G212" t="str">
        <f>VLOOKUP(E212,Sheet1!$B$1:$D$41,2,FALSE)</f>
        <v>Gordon</v>
      </c>
      <c r="H212" t="str">
        <f>VLOOKUP(F212,Sheet1!$B$1:$D$41,2,FALSE)</f>
        <v>James</v>
      </c>
      <c r="I212">
        <f>VLOOKUP(E212,Sheet1!$B$1:$D$41,3,FALSE)</f>
        <v>2347381</v>
      </c>
      <c r="J212">
        <f>VLOOKUP(F212,Sheet1!$B$1:$D$41,3,FALSE)</f>
        <v>16280</v>
      </c>
    </row>
    <row r="213" spans="1:10" x14ac:dyDescent="0.25">
      <c r="A213">
        <f>A209+1</f>
        <v>12</v>
      </c>
      <c r="B213" s="1" t="s">
        <v>12</v>
      </c>
      <c r="C213" s="1" t="s">
        <v>14</v>
      </c>
      <c r="D213" s="1" t="s">
        <v>39</v>
      </c>
      <c r="E213" t="s">
        <v>78</v>
      </c>
      <c r="F213" t="s">
        <v>79</v>
      </c>
      <c r="G213" t="str">
        <f>VLOOKUP(E213,Sheet1!$B$1:$D$41,2,FALSE)</f>
        <v>Walid</v>
      </c>
      <c r="H213" t="str">
        <f>VLOOKUP(F213,Sheet1!$B$1:$D$41,2,FALSE)</f>
        <v>Steven</v>
      </c>
      <c r="I213">
        <f>VLOOKUP(E213,Sheet1!$B$1:$D$41,3,FALSE)</f>
        <v>3823441</v>
      </c>
      <c r="J213">
        <f>VLOOKUP(F213,Sheet1!$B$1:$D$41,3,FALSE)</f>
        <v>3824633</v>
      </c>
    </row>
    <row r="214" spans="1:10" x14ac:dyDescent="0.25">
      <c r="A214">
        <f>A210+1</f>
        <v>12</v>
      </c>
      <c r="B214" s="1" t="s">
        <v>12</v>
      </c>
      <c r="C214" s="1" t="s">
        <v>14</v>
      </c>
      <c r="D214" s="1" t="s">
        <v>39</v>
      </c>
      <c r="E214" t="s">
        <v>18</v>
      </c>
      <c r="F214" t="s">
        <v>15</v>
      </c>
      <c r="G214" t="str">
        <f>VLOOKUP(E214,Sheet1!$B$1:$D$41,2,FALSE)</f>
        <v>Andy</v>
      </c>
      <c r="H214" t="str">
        <f>VLOOKUP(F214,Sheet1!$B$1:$D$41,2,FALSE)</f>
        <v>Gavin</v>
      </c>
      <c r="I214">
        <f>VLOOKUP(E214,Sheet1!$B$1:$D$41,3,FALSE)</f>
        <v>36150</v>
      </c>
      <c r="J214">
        <f>VLOOKUP(F214,Sheet1!$B$1:$D$41,3,FALSE)</f>
        <v>3801379</v>
      </c>
    </row>
    <row r="215" spans="1:10" x14ac:dyDescent="0.25">
      <c r="A215">
        <f>A211+1</f>
        <v>12</v>
      </c>
      <c r="B215" s="1" t="s">
        <v>12</v>
      </c>
      <c r="C215" s="1" t="s">
        <v>14</v>
      </c>
      <c r="D215" s="1" t="s">
        <v>39</v>
      </c>
      <c r="E215" t="s">
        <v>19</v>
      </c>
      <c r="F215" t="s">
        <v>20</v>
      </c>
      <c r="G215" t="str">
        <f>VLOOKUP(E215,Sheet1!$B$1:$D$41,2,FALSE)</f>
        <v>Keith</v>
      </c>
      <c r="H215" t="str">
        <f>VLOOKUP(F215,Sheet1!$B$1:$D$41,2,FALSE)</f>
        <v>Simon</v>
      </c>
      <c r="I215">
        <f>VLOOKUP(E215,Sheet1!$B$1:$D$41,3,FALSE)</f>
        <v>3803304</v>
      </c>
      <c r="J215">
        <f>VLOOKUP(F215,Sheet1!$B$1:$D$41,3,FALSE)</f>
        <v>3802409</v>
      </c>
    </row>
    <row r="216" spans="1:10" x14ac:dyDescent="0.25">
      <c r="A216">
        <f>A212+1</f>
        <v>13</v>
      </c>
      <c r="B216" s="1" t="s">
        <v>12</v>
      </c>
      <c r="C216" s="1" t="s">
        <v>14</v>
      </c>
      <c r="D216" s="1" t="s">
        <v>39</v>
      </c>
      <c r="E216" t="s">
        <v>17</v>
      </c>
      <c r="F216" t="s">
        <v>19</v>
      </c>
      <c r="G216" t="str">
        <f>VLOOKUP(E216,Sheet1!$B$1:$D$41,2,FALSE)</f>
        <v>James</v>
      </c>
      <c r="H216" t="str">
        <f>VLOOKUP(F216,Sheet1!$B$1:$D$41,2,FALSE)</f>
        <v>Keith</v>
      </c>
      <c r="I216">
        <f>VLOOKUP(E216,Sheet1!$B$1:$D$41,3,FALSE)</f>
        <v>16280</v>
      </c>
      <c r="J216">
        <f>VLOOKUP(F216,Sheet1!$B$1:$D$41,3,FALSE)</f>
        <v>3803304</v>
      </c>
    </row>
    <row r="217" spans="1:10" x14ac:dyDescent="0.25">
      <c r="A217">
        <f>A213+1</f>
        <v>13</v>
      </c>
      <c r="B217" s="1" t="s">
        <v>12</v>
      </c>
      <c r="C217" s="1" t="s">
        <v>14</v>
      </c>
      <c r="D217" s="1" t="s">
        <v>39</v>
      </c>
      <c r="E217" t="s">
        <v>20</v>
      </c>
      <c r="F217" t="s">
        <v>18</v>
      </c>
      <c r="G217" t="str">
        <f>VLOOKUP(E217,Sheet1!$B$1:$D$41,2,FALSE)</f>
        <v>Simon</v>
      </c>
      <c r="H217" t="str">
        <f>VLOOKUP(F217,Sheet1!$B$1:$D$41,2,FALSE)</f>
        <v>Andy</v>
      </c>
      <c r="I217">
        <f>VLOOKUP(E217,Sheet1!$B$1:$D$41,3,FALSE)</f>
        <v>3802409</v>
      </c>
      <c r="J217">
        <f>VLOOKUP(F217,Sheet1!$B$1:$D$41,3,FALSE)</f>
        <v>36150</v>
      </c>
    </row>
    <row r="218" spans="1:10" x14ac:dyDescent="0.25">
      <c r="A218">
        <f>A214+1</f>
        <v>13</v>
      </c>
      <c r="B218" s="1" t="s">
        <v>12</v>
      </c>
      <c r="C218" s="1" t="s">
        <v>14</v>
      </c>
      <c r="D218" s="1" t="s">
        <v>39</v>
      </c>
      <c r="E218" t="s">
        <v>15</v>
      </c>
      <c r="F218" t="s">
        <v>78</v>
      </c>
      <c r="G218" t="str">
        <f>VLOOKUP(E218,Sheet1!$B$1:$D$41,2,FALSE)</f>
        <v>Gavin</v>
      </c>
      <c r="H218" t="str">
        <f>VLOOKUP(F218,Sheet1!$B$1:$D$41,2,FALSE)</f>
        <v>Walid</v>
      </c>
      <c r="I218">
        <f>VLOOKUP(E218,Sheet1!$B$1:$D$41,3,FALSE)</f>
        <v>3801379</v>
      </c>
      <c r="J218">
        <f>VLOOKUP(F218,Sheet1!$B$1:$D$41,3,FALSE)</f>
        <v>3823441</v>
      </c>
    </row>
    <row r="219" spans="1:10" x14ac:dyDescent="0.25">
      <c r="A219">
        <f>A215+1</f>
        <v>13</v>
      </c>
      <c r="B219" s="1" t="s">
        <v>12</v>
      </c>
      <c r="C219" s="1" t="s">
        <v>14</v>
      </c>
      <c r="D219" s="1" t="s">
        <v>39</v>
      </c>
      <c r="E219" t="s">
        <v>79</v>
      </c>
      <c r="F219" t="s">
        <v>16</v>
      </c>
      <c r="G219" t="str">
        <f>VLOOKUP(E219,Sheet1!$B$1:$D$41,2,FALSE)</f>
        <v>Steven</v>
      </c>
      <c r="H219" t="str">
        <f>VLOOKUP(F219,Sheet1!$B$1:$D$41,2,FALSE)</f>
        <v>Gordon</v>
      </c>
      <c r="I219">
        <f>VLOOKUP(E219,Sheet1!$B$1:$D$41,3,FALSE)</f>
        <v>3824633</v>
      </c>
      <c r="J219">
        <f>VLOOKUP(F219,Sheet1!$B$1:$D$41,3,FALSE)</f>
        <v>2347381</v>
      </c>
    </row>
    <row r="220" spans="1:10" x14ac:dyDescent="0.25">
      <c r="A220">
        <f>A216+1</f>
        <v>14</v>
      </c>
      <c r="B220" s="1" t="s">
        <v>12</v>
      </c>
      <c r="C220" s="1" t="s">
        <v>14</v>
      </c>
      <c r="D220" s="1" t="s">
        <v>39</v>
      </c>
      <c r="E220" t="s">
        <v>20</v>
      </c>
      <c r="F220" t="s">
        <v>17</v>
      </c>
      <c r="G220" t="str">
        <f>VLOOKUP(E220,Sheet1!$B$1:$D$41,2,FALSE)</f>
        <v>Simon</v>
      </c>
      <c r="H220" t="str">
        <f>VLOOKUP(F220,Sheet1!$B$1:$D$41,2,FALSE)</f>
        <v>James</v>
      </c>
      <c r="I220">
        <f>VLOOKUP(E220,Sheet1!$B$1:$D$41,3,FALSE)</f>
        <v>3802409</v>
      </c>
      <c r="J220">
        <f>VLOOKUP(F220,Sheet1!$B$1:$D$41,3,FALSE)</f>
        <v>16280</v>
      </c>
    </row>
    <row r="221" spans="1:10" x14ac:dyDescent="0.25">
      <c r="A221">
        <f>A217+1</f>
        <v>14</v>
      </c>
      <c r="B221" s="1" t="s">
        <v>12</v>
      </c>
      <c r="C221" s="1" t="s">
        <v>14</v>
      </c>
      <c r="D221" s="1" t="s">
        <v>39</v>
      </c>
      <c r="E221" t="s">
        <v>15</v>
      </c>
      <c r="F221" t="s">
        <v>19</v>
      </c>
      <c r="G221" t="str">
        <f>VLOOKUP(E221,Sheet1!$B$1:$D$41,2,FALSE)</f>
        <v>Gavin</v>
      </c>
      <c r="H221" t="str">
        <f>VLOOKUP(F221,Sheet1!$B$1:$D$41,2,FALSE)</f>
        <v>Keith</v>
      </c>
      <c r="I221">
        <f>VLOOKUP(E221,Sheet1!$B$1:$D$41,3,FALSE)</f>
        <v>3801379</v>
      </c>
      <c r="J221">
        <f>VLOOKUP(F221,Sheet1!$B$1:$D$41,3,FALSE)</f>
        <v>3803304</v>
      </c>
    </row>
    <row r="222" spans="1:10" x14ac:dyDescent="0.25">
      <c r="A222">
        <f>A218+1</f>
        <v>14</v>
      </c>
      <c r="B222" s="1" t="s">
        <v>12</v>
      </c>
      <c r="C222" s="1" t="s">
        <v>14</v>
      </c>
      <c r="D222" s="1" t="s">
        <v>39</v>
      </c>
      <c r="E222" t="s">
        <v>79</v>
      </c>
      <c r="F222" t="s">
        <v>18</v>
      </c>
      <c r="G222" t="str">
        <f>VLOOKUP(E222,Sheet1!$B$1:$D$41,2,FALSE)</f>
        <v>Steven</v>
      </c>
      <c r="H222" t="str">
        <f>VLOOKUP(F222,Sheet1!$B$1:$D$41,2,FALSE)</f>
        <v>Andy</v>
      </c>
      <c r="I222">
        <f>VLOOKUP(E222,Sheet1!$B$1:$D$41,3,FALSE)</f>
        <v>3824633</v>
      </c>
      <c r="J222">
        <f>VLOOKUP(F222,Sheet1!$B$1:$D$41,3,FALSE)</f>
        <v>36150</v>
      </c>
    </row>
    <row r="223" spans="1:10" x14ac:dyDescent="0.25">
      <c r="A223">
        <f>A219+1</f>
        <v>14</v>
      </c>
      <c r="B223" s="1" t="s">
        <v>12</v>
      </c>
      <c r="C223" s="1" t="s">
        <v>14</v>
      </c>
      <c r="D223" s="1" t="s">
        <v>39</v>
      </c>
      <c r="E223" t="s">
        <v>16</v>
      </c>
      <c r="F223" t="s">
        <v>78</v>
      </c>
      <c r="G223" t="str">
        <f>VLOOKUP(E223,Sheet1!$B$1:$D$41,2,FALSE)</f>
        <v>Gordon</v>
      </c>
      <c r="H223" t="str">
        <f>VLOOKUP(F223,Sheet1!$B$1:$D$41,2,FALSE)</f>
        <v>Walid</v>
      </c>
      <c r="I223">
        <f>VLOOKUP(E223,Sheet1!$B$1:$D$41,3,FALSE)</f>
        <v>2347381</v>
      </c>
      <c r="J223">
        <f>VLOOKUP(F223,Sheet1!$B$1:$D$41,3,FALSE)</f>
        <v>3823441</v>
      </c>
    </row>
    <row r="224" spans="1:10" x14ac:dyDescent="0.25">
      <c r="A224">
        <f>A220+1</f>
        <v>15</v>
      </c>
      <c r="B224" s="1" t="s">
        <v>12</v>
      </c>
      <c r="C224" s="1" t="s">
        <v>14</v>
      </c>
      <c r="D224" s="1" t="s">
        <v>39</v>
      </c>
      <c r="E224" t="s">
        <v>15</v>
      </c>
      <c r="F224" t="s">
        <v>17</v>
      </c>
      <c r="G224" t="str">
        <f>VLOOKUP(E224,Sheet1!$B$1:$D$41,2,FALSE)</f>
        <v>Gavin</v>
      </c>
      <c r="H224" t="str">
        <f>VLOOKUP(F224,Sheet1!$B$1:$D$41,2,FALSE)</f>
        <v>James</v>
      </c>
      <c r="I224">
        <f>VLOOKUP(E224,Sheet1!$B$1:$D$41,3,FALSE)</f>
        <v>3801379</v>
      </c>
      <c r="J224">
        <f>VLOOKUP(F224,Sheet1!$B$1:$D$41,3,FALSE)</f>
        <v>16280</v>
      </c>
    </row>
    <row r="225" spans="1:10" x14ac:dyDescent="0.25">
      <c r="A225">
        <f>A221+1</f>
        <v>15</v>
      </c>
      <c r="B225" s="1" t="s">
        <v>12</v>
      </c>
      <c r="C225" s="1" t="s">
        <v>14</v>
      </c>
      <c r="D225" s="1" t="s">
        <v>39</v>
      </c>
      <c r="E225" t="s">
        <v>79</v>
      </c>
      <c r="F225" t="s">
        <v>20</v>
      </c>
      <c r="G225" t="str">
        <f>VLOOKUP(E225,Sheet1!$B$1:$D$41,2,FALSE)</f>
        <v>Steven</v>
      </c>
      <c r="H225" t="str">
        <f>VLOOKUP(F225,Sheet1!$B$1:$D$41,2,FALSE)</f>
        <v>Simon</v>
      </c>
      <c r="I225">
        <f>VLOOKUP(E225,Sheet1!$B$1:$D$41,3,FALSE)</f>
        <v>3824633</v>
      </c>
      <c r="J225">
        <f>VLOOKUP(F225,Sheet1!$B$1:$D$41,3,FALSE)</f>
        <v>3802409</v>
      </c>
    </row>
    <row r="226" spans="1:10" x14ac:dyDescent="0.25">
      <c r="A226">
        <f>A222+1</f>
        <v>15</v>
      </c>
      <c r="B226" s="1" t="s">
        <v>12</v>
      </c>
      <c r="C226" s="1" t="s">
        <v>14</v>
      </c>
      <c r="D226" s="1" t="s">
        <v>39</v>
      </c>
      <c r="E226" t="s">
        <v>16</v>
      </c>
      <c r="F226" t="s">
        <v>19</v>
      </c>
      <c r="G226" t="str">
        <f>VLOOKUP(E226,Sheet1!$B$1:$D$41,2,FALSE)</f>
        <v>Gordon</v>
      </c>
      <c r="H226" t="str">
        <f>VLOOKUP(F226,Sheet1!$B$1:$D$41,2,FALSE)</f>
        <v>Keith</v>
      </c>
      <c r="I226">
        <f>VLOOKUP(E226,Sheet1!$B$1:$D$41,3,FALSE)</f>
        <v>2347381</v>
      </c>
      <c r="J226">
        <f>VLOOKUP(F226,Sheet1!$B$1:$D$41,3,FALSE)</f>
        <v>3803304</v>
      </c>
    </row>
    <row r="227" spans="1:10" x14ac:dyDescent="0.25">
      <c r="A227">
        <f>A223+1</f>
        <v>15</v>
      </c>
      <c r="B227" s="1" t="s">
        <v>12</v>
      </c>
      <c r="C227" s="1" t="s">
        <v>14</v>
      </c>
      <c r="D227" s="1" t="s">
        <v>39</v>
      </c>
      <c r="E227" t="s">
        <v>78</v>
      </c>
      <c r="F227" t="s">
        <v>18</v>
      </c>
      <c r="G227" t="str">
        <f>VLOOKUP(E227,Sheet1!$B$1:$D$41,2,FALSE)</f>
        <v>Walid</v>
      </c>
      <c r="H227" t="str">
        <f>VLOOKUP(F227,Sheet1!$B$1:$D$41,2,FALSE)</f>
        <v>Andy</v>
      </c>
      <c r="I227">
        <f>VLOOKUP(E227,Sheet1!$B$1:$D$41,3,FALSE)</f>
        <v>3823441</v>
      </c>
      <c r="J227">
        <f>VLOOKUP(F227,Sheet1!$B$1:$D$41,3,FALSE)</f>
        <v>36150</v>
      </c>
    </row>
    <row r="228" spans="1:10" x14ac:dyDescent="0.25">
      <c r="A228">
        <f>A224+1</f>
        <v>16</v>
      </c>
      <c r="B228" s="1" t="s">
        <v>12</v>
      </c>
      <c r="C228" s="1" t="s">
        <v>14</v>
      </c>
      <c r="D228" s="1" t="s">
        <v>39</v>
      </c>
      <c r="E228" t="s">
        <v>17</v>
      </c>
      <c r="F228" t="s">
        <v>78</v>
      </c>
      <c r="G228" t="str">
        <f>VLOOKUP(E228,Sheet1!$B$1:$D$41,2,FALSE)</f>
        <v>James</v>
      </c>
      <c r="H228" t="str">
        <f>VLOOKUP(F228,Sheet1!$B$1:$D$41,2,FALSE)</f>
        <v>Walid</v>
      </c>
      <c r="I228">
        <f>VLOOKUP(E228,Sheet1!$B$1:$D$41,3,FALSE)</f>
        <v>16280</v>
      </c>
      <c r="J228">
        <f>VLOOKUP(F228,Sheet1!$B$1:$D$41,3,FALSE)</f>
        <v>3823441</v>
      </c>
    </row>
    <row r="229" spans="1:10" x14ac:dyDescent="0.25">
      <c r="A229">
        <f>A225+1</f>
        <v>16</v>
      </c>
      <c r="B229" s="1" t="s">
        <v>12</v>
      </c>
      <c r="C229" s="1" t="s">
        <v>14</v>
      </c>
      <c r="D229" s="1" t="s">
        <v>39</v>
      </c>
      <c r="E229" t="s">
        <v>18</v>
      </c>
      <c r="F229" t="s">
        <v>16</v>
      </c>
      <c r="G229" t="str">
        <f>VLOOKUP(E229,Sheet1!$B$1:$D$41,2,FALSE)</f>
        <v>Andy</v>
      </c>
      <c r="H229" t="str">
        <f>VLOOKUP(F229,Sheet1!$B$1:$D$41,2,FALSE)</f>
        <v>Gordon</v>
      </c>
      <c r="I229">
        <f>VLOOKUP(E229,Sheet1!$B$1:$D$41,3,FALSE)</f>
        <v>36150</v>
      </c>
      <c r="J229">
        <f>VLOOKUP(F229,Sheet1!$B$1:$D$41,3,FALSE)</f>
        <v>2347381</v>
      </c>
    </row>
    <row r="230" spans="1:10" x14ac:dyDescent="0.25">
      <c r="A230">
        <f>A226+1</f>
        <v>16</v>
      </c>
      <c r="B230" s="1" t="s">
        <v>12</v>
      </c>
      <c r="C230" s="1" t="s">
        <v>14</v>
      </c>
      <c r="D230" s="1" t="s">
        <v>39</v>
      </c>
      <c r="E230" t="s">
        <v>19</v>
      </c>
      <c r="F230" t="s">
        <v>79</v>
      </c>
      <c r="G230" t="str">
        <f>VLOOKUP(E230,Sheet1!$B$1:$D$41,2,FALSE)</f>
        <v>Keith</v>
      </c>
      <c r="H230" t="str">
        <f>VLOOKUP(F230,Sheet1!$B$1:$D$41,2,FALSE)</f>
        <v>Steven</v>
      </c>
      <c r="I230">
        <f>VLOOKUP(E230,Sheet1!$B$1:$D$41,3,FALSE)</f>
        <v>3803304</v>
      </c>
      <c r="J230">
        <f>VLOOKUP(F230,Sheet1!$B$1:$D$41,3,FALSE)</f>
        <v>3824633</v>
      </c>
    </row>
    <row r="231" spans="1:10" x14ac:dyDescent="0.25">
      <c r="A231">
        <f>A227+1</f>
        <v>16</v>
      </c>
      <c r="B231" s="1" t="s">
        <v>12</v>
      </c>
      <c r="C231" s="1" t="s">
        <v>14</v>
      </c>
      <c r="D231" s="1" t="s">
        <v>39</v>
      </c>
      <c r="E231" t="s">
        <v>20</v>
      </c>
      <c r="F231" t="s">
        <v>15</v>
      </c>
      <c r="G231" t="str">
        <f>VLOOKUP(E231,Sheet1!$B$1:$D$41,2,FALSE)</f>
        <v>Simon</v>
      </c>
      <c r="H231" t="str">
        <f>VLOOKUP(F231,Sheet1!$B$1:$D$41,2,FALSE)</f>
        <v>Gavin</v>
      </c>
      <c r="I231">
        <f>VLOOKUP(E231,Sheet1!$B$1:$D$41,3,FALSE)</f>
        <v>3802409</v>
      </c>
      <c r="J231">
        <f>VLOOKUP(F231,Sheet1!$B$1:$D$41,3,FALSE)</f>
        <v>3801379</v>
      </c>
    </row>
    <row r="232" spans="1:10" x14ac:dyDescent="0.25">
      <c r="A232">
        <f>A228+1</f>
        <v>17</v>
      </c>
      <c r="B232" s="1" t="s">
        <v>12</v>
      </c>
      <c r="C232" s="1" t="s">
        <v>14</v>
      </c>
      <c r="D232" s="1" t="s">
        <v>39</v>
      </c>
      <c r="E232" t="s">
        <v>79</v>
      </c>
      <c r="F232" t="s">
        <v>17</v>
      </c>
      <c r="G232" t="str">
        <f>VLOOKUP(E232,Sheet1!$B$1:$D$41,2,FALSE)</f>
        <v>Steven</v>
      </c>
      <c r="H232" t="str">
        <f>VLOOKUP(F232,Sheet1!$B$1:$D$41,2,FALSE)</f>
        <v>James</v>
      </c>
      <c r="I232">
        <f>VLOOKUP(E232,Sheet1!$B$1:$D$41,3,FALSE)</f>
        <v>3824633</v>
      </c>
      <c r="J232">
        <f>VLOOKUP(F232,Sheet1!$B$1:$D$41,3,FALSE)</f>
        <v>16280</v>
      </c>
    </row>
    <row r="233" spans="1:10" x14ac:dyDescent="0.25">
      <c r="A233">
        <f>A229+1</f>
        <v>17</v>
      </c>
      <c r="B233" s="1" t="s">
        <v>12</v>
      </c>
      <c r="C233" s="1" t="s">
        <v>14</v>
      </c>
      <c r="D233" s="1" t="s">
        <v>39</v>
      </c>
      <c r="E233" t="s">
        <v>16</v>
      </c>
      <c r="F233" t="s">
        <v>15</v>
      </c>
      <c r="G233" t="str">
        <f>VLOOKUP(E233,Sheet1!$B$1:$D$41,2,FALSE)</f>
        <v>Gordon</v>
      </c>
      <c r="H233" t="str">
        <f>VLOOKUP(F233,Sheet1!$B$1:$D$41,2,FALSE)</f>
        <v>Gavin</v>
      </c>
      <c r="I233">
        <f>VLOOKUP(E233,Sheet1!$B$1:$D$41,3,FALSE)</f>
        <v>2347381</v>
      </c>
      <c r="J233">
        <f>VLOOKUP(F233,Sheet1!$B$1:$D$41,3,FALSE)</f>
        <v>3801379</v>
      </c>
    </row>
    <row r="234" spans="1:10" x14ac:dyDescent="0.25">
      <c r="A234">
        <f>A230+1</f>
        <v>17</v>
      </c>
      <c r="B234" s="1" t="s">
        <v>12</v>
      </c>
      <c r="C234" s="1" t="s">
        <v>14</v>
      </c>
      <c r="D234" s="1" t="s">
        <v>39</v>
      </c>
      <c r="E234" t="s">
        <v>78</v>
      </c>
      <c r="F234" t="s">
        <v>20</v>
      </c>
      <c r="G234" t="str">
        <f>VLOOKUP(E234,Sheet1!$B$1:$D$41,2,FALSE)</f>
        <v>Walid</v>
      </c>
      <c r="H234" t="str">
        <f>VLOOKUP(F234,Sheet1!$B$1:$D$41,2,FALSE)</f>
        <v>Simon</v>
      </c>
      <c r="I234">
        <f>VLOOKUP(E234,Sheet1!$B$1:$D$41,3,FALSE)</f>
        <v>3823441</v>
      </c>
      <c r="J234">
        <f>VLOOKUP(F234,Sheet1!$B$1:$D$41,3,FALSE)</f>
        <v>3802409</v>
      </c>
    </row>
    <row r="235" spans="1:10" x14ac:dyDescent="0.25">
      <c r="A235">
        <f>A231+1</f>
        <v>17</v>
      </c>
      <c r="B235" s="1" t="s">
        <v>12</v>
      </c>
      <c r="C235" s="1" t="s">
        <v>14</v>
      </c>
      <c r="D235" s="1" t="s">
        <v>39</v>
      </c>
      <c r="E235" t="s">
        <v>18</v>
      </c>
      <c r="F235" t="s">
        <v>19</v>
      </c>
      <c r="G235" t="str">
        <f>VLOOKUP(E235,Sheet1!$B$1:$D$41,2,FALSE)</f>
        <v>Andy</v>
      </c>
      <c r="H235" t="str">
        <f>VLOOKUP(F235,Sheet1!$B$1:$D$41,2,FALSE)</f>
        <v>Keith</v>
      </c>
      <c r="I235">
        <f>VLOOKUP(E235,Sheet1!$B$1:$D$41,3,FALSE)</f>
        <v>36150</v>
      </c>
      <c r="J235">
        <f>VLOOKUP(F235,Sheet1!$B$1:$D$41,3,FALSE)</f>
        <v>3803304</v>
      </c>
    </row>
    <row r="236" spans="1:10" x14ac:dyDescent="0.25">
      <c r="A236">
        <f>A232+1</f>
        <v>18</v>
      </c>
      <c r="B236" s="1" t="s">
        <v>12</v>
      </c>
      <c r="C236" s="1" t="s">
        <v>14</v>
      </c>
      <c r="D236" s="1" t="s">
        <v>39</v>
      </c>
      <c r="E236" t="s">
        <v>17</v>
      </c>
      <c r="F236" t="s">
        <v>18</v>
      </c>
      <c r="G236" t="str">
        <f>VLOOKUP(E236,Sheet1!$B$1:$D$41,2,FALSE)</f>
        <v>James</v>
      </c>
      <c r="H236" t="str">
        <f>VLOOKUP(F236,Sheet1!$B$1:$D$41,2,FALSE)</f>
        <v>Andy</v>
      </c>
      <c r="I236">
        <f>VLOOKUP(E236,Sheet1!$B$1:$D$41,3,FALSE)</f>
        <v>16280</v>
      </c>
      <c r="J236">
        <f>VLOOKUP(F236,Sheet1!$B$1:$D$41,3,FALSE)</f>
        <v>36150</v>
      </c>
    </row>
    <row r="237" spans="1:10" x14ac:dyDescent="0.25">
      <c r="A237">
        <f>A233+1</f>
        <v>18</v>
      </c>
      <c r="B237" s="1" t="s">
        <v>12</v>
      </c>
      <c r="C237" s="1" t="s">
        <v>14</v>
      </c>
      <c r="D237" s="1" t="s">
        <v>39</v>
      </c>
      <c r="E237" t="s">
        <v>19</v>
      </c>
      <c r="F237" t="s">
        <v>78</v>
      </c>
      <c r="G237" t="str">
        <f>VLOOKUP(E237,Sheet1!$B$1:$D$41,2,FALSE)</f>
        <v>Keith</v>
      </c>
      <c r="H237" t="str">
        <f>VLOOKUP(F237,Sheet1!$B$1:$D$41,2,FALSE)</f>
        <v>Walid</v>
      </c>
      <c r="I237">
        <f>VLOOKUP(E237,Sheet1!$B$1:$D$41,3,FALSE)</f>
        <v>3803304</v>
      </c>
      <c r="J237">
        <f>VLOOKUP(F237,Sheet1!$B$1:$D$41,3,FALSE)</f>
        <v>3823441</v>
      </c>
    </row>
    <row r="238" spans="1:10" x14ac:dyDescent="0.25">
      <c r="A238">
        <f>A234+1</f>
        <v>18</v>
      </c>
      <c r="B238" s="1" t="s">
        <v>12</v>
      </c>
      <c r="C238" s="1" t="s">
        <v>14</v>
      </c>
      <c r="D238" s="1" t="s">
        <v>39</v>
      </c>
      <c r="E238" t="s">
        <v>20</v>
      </c>
      <c r="F238" t="s">
        <v>16</v>
      </c>
      <c r="G238" t="str">
        <f>VLOOKUP(E238,Sheet1!$B$1:$D$41,2,FALSE)</f>
        <v>Simon</v>
      </c>
      <c r="H238" t="str">
        <f>VLOOKUP(F238,Sheet1!$B$1:$D$41,2,FALSE)</f>
        <v>Gordon</v>
      </c>
      <c r="I238">
        <f>VLOOKUP(E238,Sheet1!$B$1:$D$41,3,FALSE)</f>
        <v>3802409</v>
      </c>
      <c r="J238">
        <f>VLOOKUP(F238,Sheet1!$B$1:$D$41,3,FALSE)</f>
        <v>2347381</v>
      </c>
    </row>
    <row r="239" spans="1:10" x14ac:dyDescent="0.25">
      <c r="A239">
        <f>A235+1</f>
        <v>18</v>
      </c>
      <c r="B239" s="1" t="s">
        <v>12</v>
      </c>
      <c r="C239" s="1" t="s">
        <v>14</v>
      </c>
      <c r="D239" s="1" t="s">
        <v>39</v>
      </c>
      <c r="E239" t="s">
        <v>15</v>
      </c>
      <c r="F239" t="s">
        <v>79</v>
      </c>
      <c r="G239" t="str">
        <f>VLOOKUP(E239,Sheet1!$B$1:$D$41,2,FALSE)</f>
        <v>Gavin</v>
      </c>
      <c r="H239" t="str">
        <f>VLOOKUP(F239,Sheet1!$B$1:$D$41,2,FALSE)</f>
        <v>Steven</v>
      </c>
      <c r="I239">
        <f>VLOOKUP(E239,Sheet1!$B$1:$D$41,3,FALSE)</f>
        <v>3801379</v>
      </c>
      <c r="J239">
        <f>VLOOKUP(F239,Sheet1!$B$1:$D$41,3,FALSE)</f>
        <v>3824633</v>
      </c>
    </row>
    <row r="240" spans="1:10" x14ac:dyDescent="0.25">
      <c r="A240">
        <f>A236+1</f>
        <v>19</v>
      </c>
      <c r="B240" s="1" t="s">
        <v>12</v>
      </c>
      <c r="C240" s="1" t="s">
        <v>14</v>
      </c>
      <c r="D240" s="1" t="s">
        <v>39</v>
      </c>
      <c r="E240" t="s">
        <v>16</v>
      </c>
      <c r="F240" t="s">
        <v>17</v>
      </c>
      <c r="G240" t="str">
        <f>VLOOKUP(E240,Sheet1!$B$1:$D$41,2,FALSE)</f>
        <v>Gordon</v>
      </c>
      <c r="H240" t="str">
        <f>VLOOKUP(F240,Sheet1!$B$1:$D$41,2,FALSE)</f>
        <v>James</v>
      </c>
      <c r="I240">
        <f>VLOOKUP(E240,Sheet1!$B$1:$D$41,3,FALSE)</f>
        <v>2347381</v>
      </c>
      <c r="J240">
        <f>VLOOKUP(F240,Sheet1!$B$1:$D$41,3,FALSE)</f>
        <v>16280</v>
      </c>
    </row>
    <row r="241" spans="1:10" x14ac:dyDescent="0.25">
      <c r="A241">
        <f>A237+1</f>
        <v>19</v>
      </c>
      <c r="B241" s="1" t="s">
        <v>12</v>
      </c>
      <c r="C241" s="1" t="s">
        <v>14</v>
      </c>
      <c r="D241" s="1" t="s">
        <v>39</v>
      </c>
      <c r="E241" t="s">
        <v>78</v>
      </c>
      <c r="F241" t="s">
        <v>79</v>
      </c>
      <c r="G241" t="str">
        <f>VLOOKUP(E241,Sheet1!$B$1:$D$41,2,FALSE)</f>
        <v>Walid</v>
      </c>
      <c r="H241" t="str">
        <f>VLOOKUP(F241,Sheet1!$B$1:$D$41,2,FALSE)</f>
        <v>Steven</v>
      </c>
      <c r="I241">
        <f>VLOOKUP(E241,Sheet1!$B$1:$D$41,3,FALSE)</f>
        <v>3823441</v>
      </c>
      <c r="J241">
        <f>VLOOKUP(F241,Sheet1!$B$1:$D$41,3,FALSE)</f>
        <v>3824633</v>
      </c>
    </row>
    <row r="242" spans="1:10" x14ac:dyDescent="0.25">
      <c r="A242">
        <f>A238+1</f>
        <v>19</v>
      </c>
      <c r="B242" s="1" t="s">
        <v>12</v>
      </c>
      <c r="C242" s="1" t="s">
        <v>14</v>
      </c>
      <c r="D242" s="1" t="s">
        <v>39</v>
      </c>
      <c r="E242" t="s">
        <v>18</v>
      </c>
      <c r="F242" t="s">
        <v>15</v>
      </c>
      <c r="G242" t="str">
        <f>VLOOKUP(E242,Sheet1!$B$1:$D$41,2,FALSE)</f>
        <v>Andy</v>
      </c>
      <c r="H242" t="str">
        <f>VLOOKUP(F242,Sheet1!$B$1:$D$41,2,FALSE)</f>
        <v>Gavin</v>
      </c>
      <c r="I242">
        <f>VLOOKUP(E242,Sheet1!$B$1:$D$41,3,FALSE)</f>
        <v>36150</v>
      </c>
      <c r="J242">
        <f>VLOOKUP(F242,Sheet1!$B$1:$D$41,3,FALSE)</f>
        <v>3801379</v>
      </c>
    </row>
    <row r="243" spans="1:10" x14ac:dyDescent="0.25">
      <c r="A243">
        <f>A239+1</f>
        <v>19</v>
      </c>
      <c r="B243" s="1" t="s">
        <v>12</v>
      </c>
      <c r="C243" s="1" t="s">
        <v>14</v>
      </c>
      <c r="D243" s="1" t="s">
        <v>39</v>
      </c>
      <c r="E243" t="s">
        <v>19</v>
      </c>
      <c r="F243" t="s">
        <v>20</v>
      </c>
      <c r="G243" t="str">
        <f>VLOOKUP(E243,Sheet1!$B$1:$D$41,2,FALSE)</f>
        <v>Keith</v>
      </c>
      <c r="H243" t="str">
        <f>VLOOKUP(F243,Sheet1!$B$1:$D$41,2,FALSE)</f>
        <v>Simon</v>
      </c>
      <c r="I243">
        <f>VLOOKUP(E243,Sheet1!$B$1:$D$41,3,FALSE)</f>
        <v>3803304</v>
      </c>
      <c r="J243">
        <f>VLOOKUP(F243,Sheet1!$B$1:$D$41,3,FALSE)</f>
        <v>3802409</v>
      </c>
    </row>
    <row r="244" spans="1:10" x14ac:dyDescent="0.25">
      <c r="A244">
        <f>A240+1</f>
        <v>20</v>
      </c>
      <c r="B244" s="1" t="s">
        <v>12</v>
      </c>
      <c r="C244" s="1" t="s">
        <v>14</v>
      </c>
      <c r="D244" s="1" t="s">
        <v>39</v>
      </c>
      <c r="E244" t="s">
        <v>17</v>
      </c>
      <c r="F244" t="s">
        <v>19</v>
      </c>
      <c r="G244" t="str">
        <f>VLOOKUP(E244,Sheet1!$B$1:$D$41,2,FALSE)</f>
        <v>James</v>
      </c>
      <c r="H244" t="str">
        <f>VLOOKUP(F244,Sheet1!$B$1:$D$41,2,FALSE)</f>
        <v>Keith</v>
      </c>
      <c r="I244">
        <f>VLOOKUP(E244,Sheet1!$B$1:$D$41,3,FALSE)</f>
        <v>16280</v>
      </c>
      <c r="J244">
        <f>VLOOKUP(F244,Sheet1!$B$1:$D$41,3,FALSE)</f>
        <v>3803304</v>
      </c>
    </row>
    <row r="245" spans="1:10" x14ac:dyDescent="0.25">
      <c r="A245">
        <f>A241+1</f>
        <v>20</v>
      </c>
      <c r="B245" s="1" t="s">
        <v>12</v>
      </c>
      <c r="C245" s="1" t="s">
        <v>14</v>
      </c>
      <c r="D245" s="1" t="s">
        <v>39</v>
      </c>
      <c r="E245" t="s">
        <v>20</v>
      </c>
      <c r="F245" t="s">
        <v>18</v>
      </c>
      <c r="G245" t="str">
        <f>VLOOKUP(E245,Sheet1!$B$1:$D$41,2,FALSE)</f>
        <v>Simon</v>
      </c>
      <c r="H245" t="str">
        <f>VLOOKUP(F245,Sheet1!$B$1:$D$41,2,FALSE)</f>
        <v>Andy</v>
      </c>
      <c r="I245">
        <f>VLOOKUP(E245,Sheet1!$B$1:$D$41,3,FALSE)</f>
        <v>3802409</v>
      </c>
      <c r="J245">
        <f>VLOOKUP(F245,Sheet1!$B$1:$D$41,3,FALSE)</f>
        <v>36150</v>
      </c>
    </row>
    <row r="246" spans="1:10" x14ac:dyDescent="0.25">
      <c r="A246">
        <f>A242+1</f>
        <v>20</v>
      </c>
      <c r="B246" s="1" t="s">
        <v>12</v>
      </c>
      <c r="C246" s="1" t="s">
        <v>14</v>
      </c>
      <c r="D246" s="1" t="s">
        <v>39</v>
      </c>
      <c r="E246" t="s">
        <v>15</v>
      </c>
      <c r="F246" t="s">
        <v>78</v>
      </c>
      <c r="G246" t="str">
        <f>VLOOKUP(E246,Sheet1!$B$1:$D$41,2,FALSE)</f>
        <v>Gavin</v>
      </c>
      <c r="H246" t="str">
        <f>VLOOKUP(F246,Sheet1!$B$1:$D$41,2,FALSE)</f>
        <v>Walid</v>
      </c>
      <c r="I246">
        <f>VLOOKUP(E246,Sheet1!$B$1:$D$41,3,FALSE)</f>
        <v>3801379</v>
      </c>
      <c r="J246">
        <f>VLOOKUP(F246,Sheet1!$B$1:$D$41,3,FALSE)</f>
        <v>3823441</v>
      </c>
    </row>
    <row r="247" spans="1:10" x14ac:dyDescent="0.25">
      <c r="A247">
        <f>A243+1</f>
        <v>20</v>
      </c>
      <c r="B247" s="1" t="s">
        <v>12</v>
      </c>
      <c r="C247" s="1" t="s">
        <v>14</v>
      </c>
      <c r="D247" s="1" t="s">
        <v>39</v>
      </c>
      <c r="E247" t="s">
        <v>79</v>
      </c>
      <c r="F247" t="s">
        <v>16</v>
      </c>
      <c r="G247" t="str">
        <f>VLOOKUP(E247,Sheet1!$B$1:$D$41,2,FALSE)</f>
        <v>Steven</v>
      </c>
      <c r="H247" t="str">
        <f>VLOOKUP(F247,Sheet1!$B$1:$D$41,2,FALSE)</f>
        <v>Gordon</v>
      </c>
      <c r="I247">
        <f>VLOOKUP(E247,Sheet1!$B$1:$D$41,3,FALSE)</f>
        <v>3824633</v>
      </c>
      <c r="J247">
        <f>VLOOKUP(F247,Sheet1!$B$1:$D$41,3,FALSE)</f>
        <v>2347381</v>
      </c>
    </row>
    <row r="248" spans="1:10" x14ac:dyDescent="0.25">
      <c r="A248">
        <v>21</v>
      </c>
      <c r="B248" s="1" t="s">
        <v>12</v>
      </c>
      <c r="C248" t="s">
        <v>37</v>
      </c>
      <c r="D248" s="1" t="s">
        <v>40</v>
      </c>
    </row>
    <row r="249" spans="1:10" x14ac:dyDescent="0.25">
      <c r="A249">
        <v>21</v>
      </c>
      <c r="B249" s="1" t="s">
        <v>12</v>
      </c>
      <c r="C249" t="s">
        <v>37</v>
      </c>
      <c r="D249" s="1" t="s">
        <v>40</v>
      </c>
    </row>
    <row r="250" spans="1:10" x14ac:dyDescent="0.25">
      <c r="A250">
        <v>21</v>
      </c>
      <c r="B250" s="1" t="s">
        <v>12</v>
      </c>
      <c r="C250" t="s">
        <v>37</v>
      </c>
      <c r="D250" s="1" t="s">
        <v>40</v>
      </c>
    </row>
    <row r="251" spans="1:10" x14ac:dyDescent="0.25">
      <c r="A251">
        <v>21</v>
      </c>
      <c r="B251" s="1" t="s">
        <v>12</v>
      </c>
      <c r="C251" t="s">
        <v>37</v>
      </c>
      <c r="D251" s="1" t="s">
        <v>40</v>
      </c>
    </row>
    <row r="252" spans="1:10" x14ac:dyDescent="0.25">
      <c r="A252">
        <f>A248+1</f>
        <v>22</v>
      </c>
      <c r="B252" s="1" t="s">
        <v>12</v>
      </c>
      <c r="C252" s="1" t="s">
        <v>14</v>
      </c>
      <c r="D252" s="1" t="s">
        <v>39</v>
      </c>
      <c r="E252" t="s">
        <v>20</v>
      </c>
      <c r="F252" t="s">
        <v>17</v>
      </c>
      <c r="G252" t="str">
        <f>VLOOKUP(E252,Sheet1!$B$1:$D$41,2,FALSE)</f>
        <v>Simon</v>
      </c>
      <c r="H252" t="str">
        <f>VLOOKUP(F252,Sheet1!$B$1:$D$41,2,FALSE)</f>
        <v>James</v>
      </c>
      <c r="I252">
        <f>VLOOKUP(E252,Sheet1!$B$1:$D$41,3,FALSE)</f>
        <v>3802409</v>
      </c>
      <c r="J252">
        <f>VLOOKUP(F252,Sheet1!$B$1:$D$41,3,FALSE)</f>
        <v>16280</v>
      </c>
    </row>
    <row r="253" spans="1:10" x14ac:dyDescent="0.25">
      <c r="A253">
        <f>A249+1</f>
        <v>22</v>
      </c>
      <c r="B253" s="1" t="s">
        <v>12</v>
      </c>
      <c r="C253" s="1" t="s">
        <v>14</v>
      </c>
      <c r="D253" s="1" t="s">
        <v>39</v>
      </c>
      <c r="E253" t="s">
        <v>15</v>
      </c>
      <c r="F253" t="s">
        <v>19</v>
      </c>
      <c r="G253" t="str">
        <f>VLOOKUP(E253,Sheet1!$B$1:$D$41,2,FALSE)</f>
        <v>Gavin</v>
      </c>
      <c r="H253" t="str">
        <f>VLOOKUP(F253,Sheet1!$B$1:$D$41,2,FALSE)</f>
        <v>Keith</v>
      </c>
      <c r="I253">
        <f>VLOOKUP(E253,Sheet1!$B$1:$D$41,3,FALSE)</f>
        <v>3801379</v>
      </c>
      <c r="J253">
        <f>VLOOKUP(F253,Sheet1!$B$1:$D$41,3,FALSE)</f>
        <v>3803304</v>
      </c>
    </row>
    <row r="254" spans="1:10" x14ac:dyDescent="0.25">
      <c r="A254">
        <f>A250+1</f>
        <v>22</v>
      </c>
      <c r="B254" s="1" t="s">
        <v>12</v>
      </c>
      <c r="C254" s="1" t="s">
        <v>14</v>
      </c>
      <c r="D254" s="1" t="s">
        <v>39</v>
      </c>
      <c r="E254" t="s">
        <v>79</v>
      </c>
      <c r="F254" t="s">
        <v>18</v>
      </c>
      <c r="G254" t="str">
        <f>VLOOKUP(E254,Sheet1!$B$1:$D$41,2,FALSE)</f>
        <v>Steven</v>
      </c>
      <c r="H254" t="str">
        <f>VLOOKUP(F254,Sheet1!$B$1:$D$41,2,FALSE)</f>
        <v>Andy</v>
      </c>
      <c r="I254">
        <f>VLOOKUP(E254,Sheet1!$B$1:$D$41,3,FALSE)</f>
        <v>3824633</v>
      </c>
      <c r="J254">
        <f>VLOOKUP(F254,Sheet1!$B$1:$D$41,3,FALSE)</f>
        <v>36150</v>
      </c>
    </row>
    <row r="255" spans="1:10" x14ac:dyDescent="0.25">
      <c r="A255">
        <f>A251+1</f>
        <v>22</v>
      </c>
      <c r="B255" s="1" t="s">
        <v>12</v>
      </c>
      <c r="C255" s="1" t="s">
        <v>14</v>
      </c>
      <c r="D255" s="1" t="s">
        <v>39</v>
      </c>
      <c r="E255" t="s">
        <v>16</v>
      </c>
      <c r="F255" t="s">
        <v>78</v>
      </c>
      <c r="G255" t="str">
        <f>VLOOKUP(E255,Sheet1!$B$1:$D$41,2,FALSE)</f>
        <v>Gordon</v>
      </c>
      <c r="H255" t="str">
        <f>VLOOKUP(F255,Sheet1!$B$1:$D$41,2,FALSE)</f>
        <v>Walid</v>
      </c>
      <c r="I255">
        <f>VLOOKUP(E255,Sheet1!$B$1:$D$41,3,FALSE)</f>
        <v>2347381</v>
      </c>
      <c r="J255">
        <f>VLOOKUP(F255,Sheet1!$B$1:$D$41,3,FALSE)</f>
        <v>3823441</v>
      </c>
    </row>
    <row r="256" spans="1:10" x14ac:dyDescent="0.25">
      <c r="A256">
        <v>22</v>
      </c>
      <c r="B256" s="1" t="s">
        <v>12</v>
      </c>
      <c r="C256" t="s">
        <v>37</v>
      </c>
      <c r="D256" s="1" t="s">
        <v>40</v>
      </c>
    </row>
    <row r="257" spans="1:10" x14ac:dyDescent="0.25">
      <c r="A257">
        <v>22</v>
      </c>
      <c r="B257" s="1" t="s">
        <v>12</v>
      </c>
      <c r="C257" t="s">
        <v>37</v>
      </c>
      <c r="D257" s="1" t="s">
        <v>40</v>
      </c>
    </row>
    <row r="258" spans="1:10" x14ac:dyDescent="0.25">
      <c r="A258">
        <v>22</v>
      </c>
      <c r="B258" s="1" t="s">
        <v>12</v>
      </c>
      <c r="C258" t="s">
        <v>37</v>
      </c>
      <c r="D258" s="1" t="s">
        <v>40</v>
      </c>
    </row>
    <row r="259" spans="1:10" x14ac:dyDescent="0.25">
      <c r="A259">
        <v>22</v>
      </c>
      <c r="B259" s="1" t="s">
        <v>12</v>
      </c>
      <c r="C259" t="s">
        <v>37</v>
      </c>
      <c r="D259" s="1" t="s">
        <v>40</v>
      </c>
    </row>
    <row r="260" spans="1:10" x14ac:dyDescent="0.25">
      <c r="A260">
        <f>A256+1</f>
        <v>23</v>
      </c>
      <c r="B260" s="1" t="s">
        <v>12</v>
      </c>
      <c r="C260" s="1" t="s">
        <v>14</v>
      </c>
      <c r="D260" s="1" t="s">
        <v>39</v>
      </c>
      <c r="E260" t="s">
        <v>15</v>
      </c>
      <c r="F260" t="s">
        <v>17</v>
      </c>
      <c r="G260" t="str">
        <f>VLOOKUP(E260,Sheet1!$B$1:$D$41,2,FALSE)</f>
        <v>Gavin</v>
      </c>
      <c r="H260" t="str">
        <f>VLOOKUP(F260,Sheet1!$B$1:$D$41,2,FALSE)</f>
        <v>James</v>
      </c>
      <c r="I260">
        <f>VLOOKUP(E260,Sheet1!$B$1:$D$41,3,FALSE)</f>
        <v>3801379</v>
      </c>
      <c r="J260">
        <f>VLOOKUP(F260,Sheet1!$B$1:$D$41,3,FALSE)</f>
        <v>16280</v>
      </c>
    </row>
    <row r="261" spans="1:10" x14ac:dyDescent="0.25">
      <c r="A261">
        <f>A257+1</f>
        <v>23</v>
      </c>
      <c r="B261" s="1" t="s">
        <v>12</v>
      </c>
      <c r="C261" s="1" t="s">
        <v>14</v>
      </c>
      <c r="D261" s="1" t="s">
        <v>39</v>
      </c>
      <c r="E261" t="s">
        <v>79</v>
      </c>
      <c r="F261" t="s">
        <v>20</v>
      </c>
      <c r="G261" t="str">
        <f>VLOOKUP(E261,Sheet1!$B$1:$D$41,2,FALSE)</f>
        <v>Steven</v>
      </c>
      <c r="H261" t="str">
        <f>VLOOKUP(F261,Sheet1!$B$1:$D$41,2,FALSE)</f>
        <v>Simon</v>
      </c>
      <c r="I261">
        <f>VLOOKUP(E261,Sheet1!$B$1:$D$41,3,FALSE)</f>
        <v>3824633</v>
      </c>
      <c r="J261">
        <f>VLOOKUP(F261,Sheet1!$B$1:$D$41,3,FALSE)</f>
        <v>3802409</v>
      </c>
    </row>
    <row r="262" spans="1:10" x14ac:dyDescent="0.25">
      <c r="A262">
        <f>A258+1</f>
        <v>23</v>
      </c>
      <c r="B262" s="1" t="s">
        <v>12</v>
      </c>
      <c r="C262" s="1" t="s">
        <v>14</v>
      </c>
      <c r="D262" s="1" t="s">
        <v>39</v>
      </c>
      <c r="E262" t="s">
        <v>16</v>
      </c>
      <c r="F262" t="s">
        <v>19</v>
      </c>
      <c r="G262" t="str">
        <f>VLOOKUP(E262,Sheet1!$B$1:$D$41,2,FALSE)</f>
        <v>Gordon</v>
      </c>
      <c r="H262" t="str">
        <f>VLOOKUP(F262,Sheet1!$B$1:$D$41,2,FALSE)</f>
        <v>Keith</v>
      </c>
      <c r="I262">
        <f>VLOOKUP(E262,Sheet1!$B$1:$D$41,3,FALSE)</f>
        <v>2347381</v>
      </c>
      <c r="J262">
        <f>VLOOKUP(F262,Sheet1!$B$1:$D$41,3,FALSE)</f>
        <v>3803304</v>
      </c>
    </row>
    <row r="263" spans="1:10" x14ac:dyDescent="0.25">
      <c r="A263">
        <f>A259+1</f>
        <v>23</v>
      </c>
      <c r="B263" s="1" t="s">
        <v>12</v>
      </c>
      <c r="C263" s="1" t="s">
        <v>14</v>
      </c>
      <c r="D263" s="1" t="s">
        <v>39</v>
      </c>
      <c r="E263" t="s">
        <v>78</v>
      </c>
      <c r="F263" t="s">
        <v>18</v>
      </c>
      <c r="G263" t="str">
        <f>VLOOKUP(E263,Sheet1!$B$1:$D$41,2,FALSE)</f>
        <v>Walid</v>
      </c>
      <c r="H263" t="str">
        <f>VLOOKUP(F263,Sheet1!$B$1:$D$41,2,FALSE)</f>
        <v>Andy</v>
      </c>
      <c r="I263">
        <f>VLOOKUP(E263,Sheet1!$B$1:$D$41,3,FALSE)</f>
        <v>3823441</v>
      </c>
      <c r="J263">
        <f>VLOOKUP(F263,Sheet1!$B$1:$D$41,3,FALSE)</f>
        <v>36150</v>
      </c>
    </row>
    <row r="264" spans="1:10" x14ac:dyDescent="0.25">
      <c r="A264">
        <v>23</v>
      </c>
      <c r="B264" s="1" t="s">
        <v>12</v>
      </c>
      <c r="C264" t="s">
        <v>37</v>
      </c>
      <c r="D264" t="s">
        <v>47</v>
      </c>
    </row>
    <row r="265" spans="1:10" x14ac:dyDescent="0.25">
      <c r="A265">
        <v>23</v>
      </c>
      <c r="B265" s="1" t="s">
        <v>12</v>
      </c>
      <c r="C265" t="s">
        <v>37</v>
      </c>
      <c r="D265" t="s">
        <v>47</v>
      </c>
    </row>
    <row r="266" spans="1:10" x14ac:dyDescent="0.25">
      <c r="A266">
        <f>A262+1</f>
        <v>24</v>
      </c>
      <c r="B266" s="1" t="s">
        <v>12</v>
      </c>
      <c r="C266" s="1" t="s">
        <v>14</v>
      </c>
      <c r="D266" s="1" t="s">
        <v>39</v>
      </c>
      <c r="E266" t="s">
        <v>17</v>
      </c>
      <c r="F266" t="s">
        <v>78</v>
      </c>
      <c r="G266" t="str">
        <f>VLOOKUP(E266,Sheet1!$B$1:$D$41,2,FALSE)</f>
        <v>James</v>
      </c>
      <c r="H266" t="str">
        <f>VLOOKUP(F266,Sheet1!$B$1:$D$41,2,FALSE)</f>
        <v>Walid</v>
      </c>
      <c r="I266">
        <f>VLOOKUP(E266,Sheet1!$B$1:$D$41,3,FALSE)</f>
        <v>16280</v>
      </c>
      <c r="J266">
        <f>VLOOKUP(F266,Sheet1!$B$1:$D$41,3,FALSE)</f>
        <v>3823441</v>
      </c>
    </row>
    <row r="267" spans="1:10" x14ac:dyDescent="0.25">
      <c r="A267">
        <f>A263+1</f>
        <v>24</v>
      </c>
      <c r="B267" s="1" t="s">
        <v>12</v>
      </c>
      <c r="C267" s="1" t="s">
        <v>14</v>
      </c>
      <c r="D267" s="1" t="s">
        <v>39</v>
      </c>
      <c r="E267" t="s">
        <v>18</v>
      </c>
      <c r="F267" t="s">
        <v>16</v>
      </c>
      <c r="G267" t="str">
        <f>VLOOKUP(E267,Sheet1!$B$1:$D$41,2,FALSE)</f>
        <v>Andy</v>
      </c>
      <c r="H267" t="str">
        <f>VLOOKUP(F267,Sheet1!$B$1:$D$41,2,FALSE)</f>
        <v>Gordon</v>
      </c>
      <c r="I267">
        <f>VLOOKUP(E267,Sheet1!$B$1:$D$41,3,FALSE)</f>
        <v>36150</v>
      </c>
      <c r="J267">
        <f>VLOOKUP(F267,Sheet1!$B$1:$D$41,3,FALSE)</f>
        <v>2347381</v>
      </c>
    </row>
    <row r="268" spans="1:10" x14ac:dyDescent="0.25">
      <c r="A268">
        <f>A264+1</f>
        <v>24</v>
      </c>
      <c r="B268" s="1" t="s">
        <v>12</v>
      </c>
      <c r="C268" s="1" t="s">
        <v>14</v>
      </c>
      <c r="D268" s="1" t="s">
        <v>39</v>
      </c>
      <c r="E268" t="s">
        <v>19</v>
      </c>
      <c r="F268" t="s">
        <v>79</v>
      </c>
      <c r="G268" t="str">
        <f>VLOOKUP(E268,Sheet1!$B$1:$D$41,2,FALSE)</f>
        <v>Keith</v>
      </c>
      <c r="H268" t="str">
        <f>VLOOKUP(F268,Sheet1!$B$1:$D$41,2,FALSE)</f>
        <v>Steven</v>
      </c>
      <c r="I268">
        <f>VLOOKUP(E268,Sheet1!$B$1:$D$41,3,FALSE)</f>
        <v>3803304</v>
      </c>
      <c r="J268">
        <f>VLOOKUP(F268,Sheet1!$B$1:$D$41,3,FALSE)</f>
        <v>3824633</v>
      </c>
    </row>
    <row r="269" spans="1:10" x14ac:dyDescent="0.25">
      <c r="A269">
        <f>A265+1</f>
        <v>24</v>
      </c>
      <c r="B269" s="1" t="s">
        <v>12</v>
      </c>
      <c r="C269" s="1" t="s">
        <v>14</v>
      </c>
      <c r="D269" s="1" t="s">
        <v>39</v>
      </c>
      <c r="E269" t="s">
        <v>20</v>
      </c>
      <c r="F269" t="s">
        <v>15</v>
      </c>
      <c r="G269" t="str">
        <f>VLOOKUP(E269,Sheet1!$B$1:$D$41,2,FALSE)</f>
        <v>Simon</v>
      </c>
      <c r="H269" t="str">
        <f>VLOOKUP(F269,Sheet1!$B$1:$D$41,2,FALSE)</f>
        <v>Gavin</v>
      </c>
      <c r="I269">
        <f>VLOOKUP(E269,Sheet1!$B$1:$D$41,3,FALSE)</f>
        <v>3802409</v>
      </c>
      <c r="J269">
        <f>VLOOKUP(F269,Sheet1!$B$1:$D$41,3,FALSE)</f>
        <v>3801379</v>
      </c>
    </row>
    <row r="270" spans="1:10" x14ac:dyDescent="0.25">
      <c r="A270">
        <v>24</v>
      </c>
      <c r="B270" s="1" t="s">
        <v>12</v>
      </c>
      <c r="C270" t="s">
        <v>37</v>
      </c>
      <c r="D270" t="s">
        <v>47</v>
      </c>
    </row>
    <row r="271" spans="1:10" x14ac:dyDescent="0.25">
      <c r="A271">
        <v>24</v>
      </c>
      <c r="B271" s="1" t="s">
        <v>12</v>
      </c>
      <c r="C271" t="s">
        <v>37</v>
      </c>
      <c r="D271" t="s">
        <v>47</v>
      </c>
    </row>
    <row r="272" spans="1:10" x14ac:dyDescent="0.25">
      <c r="A272">
        <f>A268+1</f>
        <v>25</v>
      </c>
      <c r="B272" s="1" t="s">
        <v>12</v>
      </c>
      <c r="C272" s="1" t="s">
        <v>14</v>
      </c>
      <c r="D272" s="1" t="s">
        <v>39</v>
      </c>
      <c r="E272" t="s">
        <v>79</v>
      </c>
      <c r="F272" t="s">
        <v>17</v>
      </c>
      <c r="G272" t="str">
        <f>VLOOKUP(E272,Sheet1!$B$1:$D$41,2,FALSE)</f>
        <v>Steven</v>
      </c>
      <c r="H272" t="str">
        <f>VLOOKUP(F272,Sheet1!$B$1:$D$41,2,FALSE)</f>
        <v>James</v>
      </c>
      <c r="I272">
        <f>VLOOKUP(E272,Sheet1!$B$1:$D$41,3,FALSE)</f>
        <v>3824633</v>
      </c>
      <c r="J272">
        <f>VLOOKUP(F272,Sheet1!$B$1:$D$41,3,FALSE)</f>
        <v>16280</v>
      </c>
    </row>
    <row r="273" spans="1:10" x14ac:dyDescent="0.25">
      <c r="A273">
        <f>A269+1</f>
        <v>25</v>
      </c>
      <c r="B273" s="1" t="s">
        <v>12</v>
      </c>
      <c r="C273" s="1" t="s">
        <v>14</v>
      </c>
      <c r="D273" s="1" t="s">
        <v>39</v>
      </c>
      <c r="E273" t="s">
        <v>16</v>
      </c>
      <c r="F273" t="s">
        <v>15</v>
      </c>
      <c r="G273" t="str">
        <f>VLOOKUP(E273,Sheet1!$B$1:$D$41,2,FALSE)</f>
        <v>Gordon</v>
      </c>
      <c r="H273" t="str">
        <f>VLOOKUP(F273,Sheet1!$B$1:$D$41,2,FALSE)</f>
        <v>Gavin</v>
      </c>
      <c r="I273">
        <f>VLOOKUP(E273,Sheet1!$B$1:$D$41,3,FALSE)</f>
        <v>2347381</v>
      </c>
      <c r="J273">
        <f>VLOOKUP(F273,Sheet1!$B$1:$D$41,3,FALSE)</f>
        <v>3801379</v>
      </c>
    </row>
    <row r="274" spans="1:10" x14ac:dyDescent="0.25">
      <c r="A274">
        <f>A270+1</f>
        <v>25</v>
      </c>
      <c r="B274" s="1" t="s">
        <v>12</v>
      </c>
      <c r="C274" s="1" t="s">
        <v>14</v>
      </c>
      <c r="D274" s="1" t="s">
        <v>39</v>
      </c>
      <c r="E274" t="s">
        <v>78</v>
      </c>
      <c r="F274" t="s">
        <v>20</v>
      </c>
      <c r="G274" t="str">
        <f>VLOOKUP(E274,Sheet1!$B$1:$D$41,2,FALSE)</f>
        <v>Walid</v>
      </c>
      <c r="H274" t="str">
        <f>VLOOKUP(F274,Sheet1!$B$1:$D$41,2,FALSE)</f>
        <v>Simon</v>
      </c>
      <c r="I274">
        <f>VLOOKUP(E274,Sheet1!$B$1:$D$41,3,FALSE)</f>
        <v>3823441</v>
      </c>
      <c r="J274">
        <f>VLOOKUP(F274,Sheet1!$B$1:$D$41,3,FALSE)</f>
        <v>3802409</v>
      </c>
    </row>
    <row r="275" spans="1:10" x14ac:dyDescent="0.25">
      <c r="A275">
        <f>A271+1</f>
        <v>25</v>
      </c>
      <c r="B275" s="1" t="s">
        <v>12</v>
      </c>
      <c r="C275" s="1" t="s">
        <v>14</v>
      </c>
      <c r="D275" s="1" t="s">
        <v>39</v>
      </c>
      <c r="E275" t="s">
        <v>18</v>
      </c>
      <c r="F275" t="s">
        <v>19</v>
      </c>
      <c r="G275" t="str">
        <f>VLOOKUP(E275,Sheet1!$B$1:$D$41,2,FALSE)</f>
        <v>Andy</v>
      </c>
      <c r="H275" t="str">
        <f>VLOOKUP(F275,Sheet1!$B$1:$D$41,2,FALSE)</f>
        <v>Keith</v>
      </c>
      <c r="I275">
        <f>VLOOKUP(E275,Sheet1!$B$1:$D$41,3,FALSE)</f>
        <v>36150</v>
      </c>
      <c r="J275">
        <f>VLOOKUP(F275,Sheet1!$B$1:$D$41,3,FALSE)</f>
        <v>3803304</v>
      </c>
    </row>
    <row r="276" spans="1:10" x14ac:dyDescent="0.25">
      <c r="A276">
        <v>25</v>
      </c>
      <c r="B276" s="1" t="s">
        <v>12</v>
      </c>
      <c r="C276" t="s">
        <v>37</v>
      </c>
      <c r="D276" t="s">
        <v>48</v>
      </c>
    </row>
    <row r="277" spans="1:10" x14ac:dyDescent="0.25">
      <c r="A277">
        <v>25</v>
      </c>
      <c r="B277" s="1" t="s">
        <v>12</v>
      </c>
      <c r="C277" t="s">
        <v>37</v>
      </c>
      <c r="D277" t="s">
        <v>48</v>
      </c>
    </row>
    <row r="278" spans="1:10" x14ac:dyDescent="0.25">
      <c r="A278">
        <f>A274+1</f>
        <v>26</v>
      </c>
      <c r="B278" s="1" t="s">
        <v>12</v>
      </c>
      <c r="C278" s="1" t="s">
        <v>14</v>
      </c>
      <c r="D278" s="1" t="s">
        <v>39</v>
      </c>
      <c r="E278" t="s">
        <v>17</v>
      </c>
      <c r="F278" t="s">
        <v>18</v>
      </c>
      <c r="G278" t="str">
        <f>VLOOKUP(E278,Sheet1!$B$1:$D$41,2,FALSE)</f>
        <v>James</v>
      </c>
      <c r="H278" t="str">
        <f>VLOOKUP(F278,Sheet1!$B$1:$D$41,2,FALSE)</f>
        <v>Andy</v>
      </c>
      <c r="I278">
        <f>VLOOKUP(E278,Sheet1!$B$1:$D$41,3,FALSE)</f>
        <v>16280</v>
      </c>
      <c r="J278">
        <f>VLOOKUP(F278,Sheet1!$B$1:$D$41,3,FALSE)</f>
        <v>36150</v>
      </c>
    </row>
    <row r="279" spans="1:10" x14ac:dyDescent="0.25">
      <c r="A279">
        <f>A275+1</f>
        <v>26</v>
      </c>
      <c r="B279" s="1" t="s">
        <v>12</v>
      </c>
      <c r="C279" s="1" t="s">
        <v>14</v>
      </c>
      <c r="D279" s="1" t="s">
        <v>39</v>
      </c>
      <c r="E279" t="s">
        <v>19</v>
      </c>
      <c r="F279" t="s">
        <v>78</v>
      </c>
      <c r="G279" t="str">
        <f>VLOOKUP(E279,Sheet1!$B$1:$D$41,2,FALSE)</f>
        <v>Keith</v>
      </c>
      <c r="H279" t="str">
        <f>VLOOKUP(F279,Sheet1!$B$1:$D$41,2,FALSE)</f>
        <v>Walid</v>
      </c>
      <c r="I279">
        <f>VLOOKUP(E279,Sheet1!$B$1:$D$41,3,FALSE)</f>
        <v>3803304</v>
      </c>
      <c r="J279">
        <f>VLOOKUP(F279,Sheet1!$B$1:$D$41,3,FALSE)</f>
        <v>3823441</v>
      </c>
    </row>
    <row r="280" spans="1:10" x14ac:dyDescent="0.25">
      <c r="A280">
        <f>A276+1</f>
        <v>26</v>
      </c>
      <c r="B280" s="1" t="s">
        <v>12</v>
      </c>
      <c r="C280" s="1" t="s">
        <v>14</v>
      </c>
      <c r="D280" s="1" t="s">
        <v>39</v>
      </c>
      <c r="E280" t="s">
        <v>20</v>
      </c>
      <c r="F280" t="s">
        <v>16</v>
      </c>
      <c r="G280" t="str">
        <f>VLOOKUP(E280,Sheet1!$B$1:$D$41,2,FALSE)</f>
        <v>Simon</v>
      </c>
      <c r="H280" t="str">
        <f>VLOOKUP(F280,Sheet1!$B$1:$D$41,2,FALSE)</f>
        <v>Gordon</v>
      </c>
      <c r="I280">
        <f>VLOOKUP(E280,Sheet1!$B$1:$D$41,3,FALSE)</f>
        <v>3802409</v>
      </c>
      <c r="J280">
        <f>VLOOKUP(F280,Sheet1!$B$1:$D$41,3,FALSE)</f>
        <v>2347381</v>
      </c>
    </row>
    <row r="281" spans="1:10" x14ac:dyDescent="0.25">
      <c r="A281">
        <f>A277+1</f>
        <v>26</v>
      </c>
      <c r="B281" s="1" t="s">
        <v>12</v>
      </c>
      <c r="C281" s="1" t="s">
        <v>14</v>
      </c>
      <c r="D281" s="1" t="s">
        <v>39</v>
      </c>
      <c r="E281" t="s">
        <v>15</v>
      </c>
      <c r="F281" t="s">
        <v>79</v>
      </c>
      <c r="G281" t="str">
        <f>VLOOKUP(E281,Sheet1!$B$1:$D$41,2,FALSE)</f>
        <v>Gavin</v>
      </c>
      <c r="H281" t="str">
        <f>VLOOKUP(F281,Sheet1!$B$1:$D$41,2,FALSE)</f>
        <v>Steven</v>
      </c>
      <c r="I281">
        <f>VLOOKUP(E281,Sheet1!$B$1:$D$41,3,FALSE)</f>
        <v>3801379</v>
      </c>
      <c r="J281">
        <f>VLOOKUP(F281,Sheet1!$B$1:$D$41,3,FALSE)</f>
        <v>3824633</v>
      </c>
    </row>
    <row r="282" spans="1:10" x14ac:dyDescent="0.25">
      <c r="A282">
        <f>A278+1</f>
        <v>27</v>
      </c>
      <c r="B282" s="1" t="s">
        <v>12</v>
      </c>
      <c r="C282" s="1" t="s">
        <v>14</v>
      </c>
      <c r="D282" s="1" t="s">
        <v>39</v>
      </c>
      <c r="E282" t="s">
        <v>16</v>
      </c>
      <c r="F282" t="s">
        <v>17</v>
      </c>
      <c r="G282" t="str">
        <f>VLOOKUP(E282,Sheet1!$B$1:$D$41,2,FALSE)</f>
        <v>Gordon</v>
      </c>
      <c r="H282" t="str">
        <f>VLOOKUP(F282,Sheet1!$B$1:$D$41,2,FALSE)</f>
        <v>James</v>
      </c>
      <c r="I282">
        <f>VLOOKUP(E282,Sheet1!$B$1:$D$41,3,FALSE)</f>
        <v>2347381</v>
      </c>
      <c r="J282">
        <f>VLOOKUP(F282,Sheet1!$B$1:$D$41,3,FALSE)</f>
        <v>16280</v>
      </c>
    </row>
    <row r="283" spans="1:10" x14ac:dyDescent="0.25">
      <c r="A283">
        <f>A279+1</f>
        <v>27</v>
      </c>
      <c r="B283" s="1" t="s">
        <v>12</v>
      </c>
      <c r="C283" s="1" t="s">
        <v>14</v>
      </c>
      <c r="D283" s="1" t="s">
        <v>39</v>
      </c>
      <c r="E283" t="s">
        <v>78</v>
      </c>
      <c r="F283" t="s">
        <v>79</v>
      </c>
      <c r="G283" t="str">
        <f>VLOOKUP(E283,Sheet1!$B$1:$D$41,2,FALSE)</f>
        <v>Walid</v>
      </c>
      <c r="H283" t="str">
        <f>VLOOKUP(F283,Sheet1!$B$1:$D$41,2,FALSE)</f>
        <v>Steven</v>
      </c>
      <c r="I283">
        <f>VLOOKUP(E283,Sheet1!$B$1:$D$41,3,FALSE)</f>
        <v>3823441</v>
      </c>
      <c r="J283">
        <f>VLOOKUP(F283,Sheet1!$B$1:$D$41,3,FALSE)</f>
        <v>3824633</v>
      </c>
    </row>
    <row r="284" spans="1:10" x14ac:dyDescent="0.25">
      <c r="A284">
        <f>A280+1</f>
        <v>27</v>
      </c>
      <c r="B284" s="1" t="s">
        <v>12</v>
      </c>
      <c r="C284" s="1" t="s">
        <v>14</v>
      </c>
      <c r="D284" s="1" t="s">
        <v>39</v>
      </c>
      <c r="E284" t="s">
        <v>18</v>
      </c>
      <c r="F284" t="s">
        <v>15</v>
      </c>
      <c r="G284" t="str">
        <f>VLOOKUP(E284,Sheet1!$B$1:$D$41,2,FALSE)</f>
        <v>Andy</v>
      </c>
      <c r="H284" t="str">
        <f>VLOOKUP(F284,Sheet1!$B$1:$D$41,2,FALSE)</f>
        <v>Gavin</v>
      </c>
      <c r="I284">
        <f>VLOOKUP(E284,Sheet1!$B$1:$D$41,3,FALSE)</f>
        <v>36150</v>
      </c>
      <c r="J284">
        <f>VLOOKUP(F284,Sheet1!$B$1:$D$41,3,FALSE)</f>
        <v>3801379</v>
      </c>
    </row>
    <row r="285" spans="1:10" x14ac:dyDescent="0.25">
      <c r="A285">
        <f>A281+1</f>
        <v>27</v>
      </c>
      <c r="B285" s="1" t="s">
        <v>12</v>
      </c>
      <c r="C285" s="1" t="s">
        <v>14</v>
      </c>
      <c r="D285" s="1" t="s">
        <v>39</v>
      </c>
      <c r="E285" t="s">
        <v>19</v>
      </c>
      <c r="F285" t="s">
        <v>20</v>
      </c>
      <c r="G285" t="str">
        <f>VLOOKUP(E285,Sheet1!$B$1:$D$41,2,FALSE)</f>
        <v>Keith</v>
      </c>
      <c r="H285" t="str">
        <f>VLOOKUP(F285,Sheet1!$B$1:$D$41,2,FALSE)</f>
        <v>Simon</v>
      </c>
      <c r="I285">
        <f>VLOOKUP(E285,Sheet1!$B$1:$D$41,3,FALSE)</f>
        <v>3803304</v>
      </c>
      <c r="J285">
        <f>VLOOKUP(F285,Sheet1!$B$1:$D$41,3,FALSE)</f>
        <v>3802409</v>
      </c>
    </row>
    <row r="286" spans="1:10" x14ac:dyDescent="0.25">
      <c r="A286">
        <f>A282+1</f>
        <v>28</v>
      </c>
      <c r="B286" s="1" t="s">
        <v>12</v>
      </c>
      <c r="C286" s="1" t="s">
        <v>14</v>
      </c>
      <c r="D286" s="1" t="s">
        <v>39</v>
      </c>
      <c r="E286" t="s">
        <v>17</v>
      </c>
      <c r="F286" t="s">
        <v>19</v>
      </c>
      <c r="G286" t="str">
        <f>VLOOKUP(E286,Sheet1!$B$1:$D$41,2,FALSE)</f>
        <v>James</v>
      </c>
      <c r="H286" t="str">
        <f>VLOOKUP(F286,Sheet1!$B$1:$D$41,2,FALSE)</f>
        <v>Keith</v>
      </c>
      <c r="I286">
        <f>VLOOKUP(E286,Sheet1!$B$1:$D$41,3,FALSE)</f>
        <v>16280</v>
      </c>
      <c r="J286">
        <f>VLOOKUP(F286,Sheet1!$B$1:$D$41,3,FALSE)</f>
        <v>3803304</v>
      </c>
    </row>
    <row r="287" spans="1:10" x14ac:dyDescent="0.25">
      <c r="A287">
        <f>A283+1</f>
        <v>28</v>
      </c>
      <c r="B287" s="1" t="s">
        <v>12</v>
      </c>
      <c r="C287" s="1" t="s">
        <v>14</v>
      </c>
      <c r="D287" s="1" t="s">
        <v>39</v>
      </c>
      <c r="E287" t="s">
        <v>20</v>
      </c>
      <c r="F287" t="s">
        <v>18</v>
      </c>
      <c r="G287" t="str">
        <f>VLOOKUP(E287,Sheet1!$B$1:$D$41,2,FALSE)</f>
        <v>Simon</v>
      </c>
      <c r="H287" t="str">
        <f>VLOOKUP(F287,Sheet1!$B$1:$D$41,2,FALSE)</f>
        <v>Andy</v>
      </c>
      <c r="I287">
        <f>VLOOKUP(E287,Sheet1!$B$1:$D$41,3,FALSE)</f>
        <v>3802409</v>
      </c>
      <c r="J287">
        <f>VLOOKUP(F287,Sheet1!$B$1:$D$41,3,FALSE)</f>
        <v>36150</v>
      </c>
    </row>
    <row r="288" spans="1:10" x14ac:dyDescent="0.25">
      <c r="A288">
        <f>A284+1</f>
        <v>28</v>
      </c>
      <c r="B288" s="1" t="s">
        <v>12</v>
      </c>
      <c r="C288" s="1" t="s">
        <v>14</v>
      </c>
      <c r="D288" s="1" t="s">
        <v>39</v>
      </c>
      <c r="E288" t="s">
        <v>15</v>
      </c>
      <c r="F288" t="s">
        <v>78</v>
      </c>
      <c r="G288" t="str">
        <f>VLOOKUP(E288,Sheet1!$B$1:$D$41,2,FALSE)</f>
        <v>Gavin</v>
      </c>
      <c r="H288" t="str">
        <f>VLOOKUP(F288,Sheet1!$B$1:$D$41,2,FALSE)</f>
        <v>Walid</v>
      </c>
      <c r="I288">
        <f>VLOOKUP(E288,Sheet1!$B$1:$D$41,3,FALSE)</f>
        <v>3801379</v>
      </c>
      <c r="J288">
        <f>VLOOKUP(F288,Sheet1!$B$1:$D$41,3,FALSE)</f>
        <v>3823441</v>
      </c>
    </row>
    <row r="289" spans="1:10" x14ac:dyDescent="0.25">
      <c r="A289">
        <f>A285+1</f>
        <v>28</v>
      </c>
      <c r="B289" s="1" t="s">
        <v>12</v>
      </c>
      <c r="C289" s="1" t="s">
        <v>14</v>
      </c>
      <c r="D289" s="1" t="s">
        <v>39</v>
      </c>
      <c r="E289" t="s">
        <v>79</v>
      </c>
      <c r="F289" t="s">
        <v>16</v>
      </c>
      <c r="G289" t="str">
        <f>VLOOKUP(E289,Sheet1!$B$1:$D$41,2,FALSE)</f>
        <v>Steven</v>
      </c>
      <c r="H289" t="str">
        <f>VLOOKUP(F289,Sheet1!$B$1:$D$41,2,FALSE)</f>
        <v>Gordon</v>
      </c>
      <c r="I289">
        <f>VLOOKUP(E289,Sheet1!$B$1:$D$41,3,FALSE)</f>
        <v>3824633</v>
      </c>
      <c r="J289">
        <f>VLOOKUP(F289,Sheet1!$B$1:$D$41,3,FALSE)</f>
        <v>2347381</v>
      </c>
    </row>
    <row r="290" spans="1:10" x14ac:dyDescent="0.25">
      <c r="A290">
        <f>A286+1</f>
        <v>29</v>
      </c>
      <c r="B290" s="1" t="s">
        <v>12</v>
      </c>
      <c r="C290" s="1" t="s">
        <v>14</v>
      </c>
      <c r="D290" s="1" t="s">
        <v>39</v>
      </c>
      <c r="E290" t="s">
        <v>20</v>
      </c>
      <c r="F290" t="s">
        <v>17</v>
      </c>
      <c r="G290" t="str">
        <f>VLOOKUP(E290,Sheet1!$B$1:$D$41,2,FALSE)</f>
        <v>Simon</v>
      </c>
      <c r="H290" t="str">
        <f>VLOOKUP(F290,Sheet1!$B$1:$D$41,2,FALSE)</f>
        <v>James</v>
      </c>
      <c r="I290">
        <f>VLOOKUP(E290,Sheet1!$B$1:$D$41,3,FALSE)</f>
        <v>3802409</v>
      </c>
      <c r="J290">
        <f>VLOOKUP(F290,Sheet1!$B$1:$D$41,3,FALSE)</f>
        <v>16280</v>
      </c>
    </row>
    <row r="291" spans="1:10" x14ac:dyDescent="0.25">
      <c r="A291">
        <f>A287+1</f>
        <v>29</v>
      </c>
      <c r="B291" s="1" t="s">
        <v>12</v>
      </c>
      <c r="C291" s="1" t="s">
        <v>14</v>
      </c>
      <c r="D291" s="1" t="s">
        <v>39</v>
      </c>
      <c r="E291" t="s">
        <v>15</v>
      </c>
      <c r="F291" t="s">
        <v>19</v>
      </c>
      <c r="G291" t="str">
        <f>VLOOKUP(E291,Sheet1!$B$1:$D$41,2,FALSE)</f>
        <v>Gavin</v>
      </c>
      <c r="H291" t="str">
        <f>VLOOKUP(F291,Sheet1!$B$1:$D$41,2,FALSE)</f>
        <v>Keith</v>
      </c>
      <c r="I291">
        <f>VLOOKUP(E291,Sheet1!$B$1:$D$41,3,FALSE)</f>
        <v>3801379</v>
      </c>
      <c r="J291">
        <f>VLOOKUP(F291,Sheet1!$B$1:$D$41,3,FALSE)</f>
        <v>3803304</v>
      </c>
    </row>
    <row r="292" spans="1:10" x14ac:dyDescent="0.25">
      <c r="A292">
        <f>A288+1</f>
        <v>29</v>
      </c>
      <c r="B292" s="1" t="s">
        <v>12</v>
      </c>
      <c r="C292" s="1" t="s">
        <v>14</v>
      </c>
      <c r="D292" s="1" t="s">
        <v>39</v>
      </c>
      <c r="E292" t="s">
        <v>79</v>
      </c>
      <c r="F292" t="s">
        <v>18</v>
      </c>
      <c r="G292" t="str">
        <f>VLOOKUP(E292,Sheet1!$B$1:$D$41,2,FALSE)</f>
        <v>Steven</v>
      </c>
      <c r="H292" t="str">
        <f>VLOOKUP(F292,Sheet1!$B$1:$D$41,2,FALSE)</f>
        <v>Andy</v>
      </c>
      <c r="I292">
        <f>VLOOKUP(E292,Sheet1!$B$1:$D$41,3,FALSE)</f>
        <v>3824633</v>
      </c>
      <c r="J292">
        <f>VLOOKUP(F292,Sheet1!$B$1:$D$41,3,FALSE)</f>
        <v>36150</v>
      </c>
    </row>
    <row r="293" spans="1:10" x14ac:dyDescent="0.25">
      <c r="A293">
        <f>A289+1</f>
        <v>29</v>
      </c>
      <c r="B293" s="1" t="s">
        <v>12</v>
      </c>
      <c r="C293" s="1" t="s">
        <v>14</v>
      </c>
      <c r="D293" s="1" t="s">
        <v>39</v>
      </c>
      <c r="E293" t="s">
        <v>16</v>
      </c>
      <c r="F293" t="s">
        <v>78</v>
      </c>
      <c r="G293" t="str">
        <f>VLOOKUP(E293,Sheet1!$B$1:$D$41,2,FALSE)</f>
        <v>Gordon</v>
      </c>
      <c r="H293" t="str">
        <f>VLOOKUP(F293,Sheet1!$B$1:$D$41,2,FALSE)</f>
        <v>Walid</v>
      </c>
      <c r="I293">
        <f>VLOOKUP(E293,Sheet1!$B$1:$D$41,3,FALSE)</f>
        <v>2347381</v>
      </c>
      <c r="J293">
        <f>VLOOKUP(F293,Sheet1!$B$1:$D$41,3,FALSE)</f>
        <v>3823441</v>
      </c>
    </row>
    <row r="294" spans="1:10" x14ac:dyDescent="0.25">
      <c r="A294">
        <f>A290+1</f>
        <v>30</v>
      </c>
      <c r="B294" s="1" t="s">
        <v>12</v>
      </c>
      <c r="C294" s="1" t="s">
        <v>14</v>
      </c>
      <c r="D294" s="1" t="s">
        <v>39</v>
      </c>
      <c r="E294" t="s">
        <v>15</v>
      </c>
      <c r="F294" t="s">
        <v>17</v>
      </c>
      <c r="G294" t="str">
        <f>VLOOKUP(E294,Sheet1!$B$1:$D$41,2,FALSE)</f>
        <v>Gavin</v>
      </c>
      <c r="H294" t="str">
        <f>VLOOKUP(F294,Sheet1!$B$1:$D$41,2,FALSE)</f>
        <v>James</v>
      </c>
      <c r="I294">
        <f>VLOOKUP(E294,Sheet1!$B$1:$D$41,3,FALSE)</f>
        <v>3801379</v>
      </c>
      <c r="J294">
        <f>VLOOKUP(F294,Sheet1!$B$1:$D$41,3,FALSE)</f>
        <v>16280</v>
      </c>
    </row>
    <row r="295" spans="1:10" x14ac:dyDescent="0.25">
      <c r="A295">
        <f>A291+1</f>
        <v>30</v>
      </c>
      <c r="B295" s="1" t="s">
        <v>12</v>
      </c>
      <c r="C295" s="1" t="s">
        <v>14</v>
      </c>
      <c r="D295" s="1" t="s">
        <v>39</v>
      </c>
      <c r="E295" t="s">
        <v>79</v>
      </c>
      <c r="F295" t="s">
        <v>20</v>
      </c>
      <c r="G295" t="str">
        <f>VLOOKUP(E295,Sheet1!$B$1:$D$41,2,FALSE)</f>
        <v>Steven</v>
      </c>
      <c r="H295" t="str">
        <f>VLOOKUP(F295,Sheet1!$B$1:$D$41,2,FALSE)</f>
        <v>Simon</v>
      </c>
      <c r="I295">
        <f>VLOOKUP(E295,Sheet1!$B$1:$D$41,3,FALSE)</f>
        <v>3824633</v>
      </c>
      <c r="J295">
        <f>VLOOKUP(F295,Sheet1!$B$1:$D$41,3,FALSE)</f>
        <v>3802409</v>
      </c>
    </row>
    <row r="296" spans="1:10" x14ac:dyDescent="0.25">
      <c r="A296">
        <f>A292+1</f>
        <v>30</v>
      </c>
      <c r="B296" s="1" t="s">
        <v>12</v>
      </c>
      <c r="C296" s="1" t="s">
        <v>14</v>
      </c>
      <c r="D296" s="1" t="s">
        <v>39</v>
      </c>
      <c r="E296" t="s">
        <v>16</v>
      </c>
      <c r="F296" t="s">
        <v>19</v>
      </c>
      <c r="G296" t="str">
        <f>VLOOKUP(E296,Sheet1!$B$1:$D$41,2,FALSE)</f>
        <v>Gordon</v>
      </c>
      <c r="H296" t="str">
        <f>VLOOKUP(F296,Sheet1!$B$1:$D$41,2,FALSE)</f>
        <v>Keith</v>
      </c>
      <c r="I296">
        <f>VLOOKUP(E296,Sheet1!$B$1:$D$41,3,FALSE)</f>
        <v>2347381</v>
      </c>
      <c r="J296">
        <f>VLOOKUP(F296,Sheet1!$B$1:$D$41,3,FALSE)</f>
        <v>3803304</v>
      </c>
    </row>
    <row r="297" spans="1:10" x14ac:dyDescent="0.25">
      <c r="A297">
        <f>A293+1</f>
        <v>30</v>
      </c>
      <c r="B297" s="1" t="s">
        <v>12</v>
      </c>
      <c r="C297" s="1" t="s">
        <v>14</v>
      </c>
      <c r="D297" s="1" t="s">
        <v>39</v>
      </c>
      <c r="E297" t="s">
        <v>78</v>
      </c>
      <c r="F297" t="s">
        <v>18</v>
      </c>
      <c r="G297" t="str">
        <f>VLOOKUP(E297,Sheet1!$B$1:$D$41,2,FALSE)</f>
        <v>Walid</v>
      </c>
      <c r="H297" t="str">
        <f>VLOOKUP(F297,Sheet1!$B$1:$D$41,2,FALSE)</f>
        <v>Andy</v>
      </c>
      <c r="I297">
        <f>VLOOKUP(E297,Sheet1!$B$1:$D$41,3,FALSE)</f>
        <v>3823441</v>
      </c>
      <c r="J297">
        <f>VLOOKUP(F297,Sheet1!$B$1:$D$41,3,FALSE)</f>
        <v>36150</v>
      </c>
    </row>
    <row r="298" spans="1:10" x14ac:dyDescent="0.25">
      <c r="A298">
        <f>A294+1</f>
        <v>31</v>
      </c>
      <c r="B298" s="1" t="s">
        <v>12</v>
      </c>
      <c r="C298" s="1" t="s">
        <v>14</v>
      </c>
      <c r="D298" s="1" t="s">
        <v>39</v>
      </c>
      <c r="E298" t="s">
        <v>17</v>
      </c>
      <c r="F298" t="s">
        <v>78</v>
      </c>
      <c r="G298" t="str">
        <f>VLOOKUP(E298,Sheet1!$B$1:$D$41,2,FALSE)</f>
        <v>James</v>
      </c>
      <c r="H298" t="str">
        <f>VLOOKUP(F298,Sheet1!$B$1:$D$41,2,FALSE)</f>
        <v>Walid</v>
      </c>
      <c r="I298">
        <f>VLOOKUP(E298,Sheet1!$B$1:$D$41,3,FALSE)</f>
        <v>16280</v>
      </c>
      <c r="J298">
        <f>VLOOKUP(F298,Sheet1!$B$1:$D$41,3,FALSE)</f>
        <v>3823441</v>
      </c>
    </row>
    <row r="299" spans="1:10" x14ac:dyDescent="0.25">
      <c r="A299">
        <f>A295+1</f>
        <v>31</v>
      </c>
      <c r="B299" s="1" t="s">
        <v>12</v>
      </c>
      <c r="C299" s="1" t="s">
        <v>14</v>
      </c>
      <c r="D299" s="1" t="s">
        <v>39</v>
      </c>
      <c r="E299" t="s">
        <v>18</v>
      </c>
      <c r="F299" t="s">
        <v>16</v>
      </c>
      <c r="G299" t="str">
        <f>VLOOKUP(E299,Sheet1!$B$1:$D$41,2,FALSE)</f>
        <v>Andy</v>
      </c>
      <c r="H299" t="str">
        <f>VLOOKUP(F299,Sheet1!$B$1:$D$41,2,FALSE)</f>
        <v>Gordon</v>
      </c>
      <c r="I299">
        <f>VLOOKUP(E299,Sheet1!$B$1:$D$41,3,FALSE)</f>
        <v>36150</v>
      </c>
      <c r="J299">
        <f>VLOOKUP(F299,Sheet1!$B$1:$D$41,3,FALSE)</f>
        <v>2347381</v>
      </c>
    </row>
    <row r="300" spans="1:10" x14ac:dyDescent="0.25">
      <c r="A300">
        <f>A296+1</f>
        <v>31</v>
      </c>
      <c r="B300" s="1" t="s">
        <v>12</v>
      </c>
      <c r="C300" s="1" t="s">
        <v>14</v>
      </c>
      <c r="D300" s="1" t="s">
        <v>39</v>
      </c>
      <c r="E300" t="s">
        <v>19</v>
      </c>
      <c r="F300" t="s">
        <v>79</v>
      </c>
      <c r="G300" t="str">
        <f>VLOOKUP(E300,Sheet1!$B$1:$D$41,2,FALSE)</f>
        <v>Keith</v>
      </c>
      <c r="H300" t="str">
        <f>VLOOKUP(F300,Sheet1!$B$1:$D$41,2,FALSE)</f>
        <v>Steven</v>
      </c>
      <c r="I300">
        <f>VLOOKUP(E300,Sheet1!$B$1:$D$41,3,FALSE)</f>
        <v>3803304</v>
      </c>
      <c r="J300">
        <f>VLOOKUP(F300,Sheet1!$B$1:$D$41,3,FALSE)</f>
        <v>3824633</v>
      </c>
    </row>
    <row r="301" spans="1:10" x14ac:dyDescent="0.25">
      <c r="A301">
        <f>A297+1</f>
        <v>31</v>
      </c>
      <c r="B301" s="1" t="s">
        <v>12</v>
      </c>
      <c r="C301" s="1" t="s">
        <v>14</v>
      </c>
      <c r="D301" s="1" t="s">
        <v>39</v>
      </c>
      <c r="E301" t="s">
        <v>20</v>
      </c>
      <c r="F301" t="s">
        <v>15</v>
      </c>
      <c r="G301" t="str">
        <f>VLOOKUP(E301,Sheet1!$B$1:$D$41,2,FALSE)</f>
        <v>Simon</v>
      </c>
      <c r="H301" t="str">
        <f>VLOOKUP(F301,Sheet1!$B$1:$D$41,2,FALSE)</f>
        <v>Gavin</v>
      </c>
      <c r="I301">
        <f>VLOOKUP(E301,Sheet1!$B$1:$D$41,3,FALSE)</f>
        <v>3802409</v>
      </c>
      <c r="J301">
        <f>VLOOKUP(F301,Sheet1!$B$1:$D$41,3,FALSE)</f>
        <v>3801379</v>
      </c>
    </row>
    <row r="302" spans="1:10" x14ac:dyDescent="0.25">
      <c r="A302">
        <f>A298+1</f>
        <v>32</v>
      </c>
      <c r="B302" s="1" t="s">
        <v>12</v>
      </c>
      <c r="C302" s="1" t="s">
        <v>14</v>
      </c>
      <c r="D302" s="1" t="s">
        <v>39</v>
      </c>
      <c r="E302" t="s">
        <v>79</v>
      </c>
      <c r="F302" t="s">
        <v>17</v>
      </c>
      <c r="G302" t="str">
        <f>VLOOKUP(E302,Sheet1!$B$1:$D$41,2,FALSE)</f>
        <v>Steven</v>
      </c>
      <c r="H302" t="str">
        <f>VLOOKUP(F302,Sheet1!$B$1:$D$41,2,FALSE)</f>
        <v>James</v>
      </c>
      <c r="I302">
        <f>VLOOKUP(E302,Sheet1!$B$1:$D$41,3,FALSE)</f>
        <v>3824633</v>
      </c>
      <c r="J302">
        <f>VLOOKUP(F302,Sheet1!$B$1:$D$41,3,FALSE)</f>
        <v>16280</v>
      </c>
    </row>
    <row r="303" spans="1:10" x14ac:dyDescent="0.25">
      <c r="A303">
        <f>A299+1</f>
        <v>32</v>
      </c>
      <c r="B303" s="1" t="s">
        <v>12</v>
      </c>
      <c r="C303" s="1" t="s">
        <v>14</v>
      </c>
      <c r="D303" s="1" t="s">
        <v>39</v>
      </c>
      <c r="E303" t="s">
        <v>16</v>
      </c>
      <c r="F303" t="s">
        <v>15</v>
      </c>
      <c r="G303" t="str">
        <f>VLOOKUP(E303,Sheet1!$B$1:$D$41,2,FALSE)</f>
        <v>Gordon</v>
      </c>
      <c r="H303" t="str">
        <f>VLOOKUP(F303,Sheet1!$B$1:$D$41,2,FALSE)</f>
        <v>Gavin</v>
      </c>
      <c r="I303">
        <f>VLOOKUP(E303,Sheet1!$B$1:$D$41,3,FALSE)</f>
        <v>2347381</v>
      </c>
      <c r="J303">
        <f>VLOOKUP(F303,Sheet1!$B$1:$D$41,3,FALSE)</f>
        <v>3801379</v>
      </c>
    </row>
    <row r="304" spans="1:10" x14ac:dyDescent="0.25">
      <c r="A304">
        <f>A300+1</f>
        <v>32</v>
      </c>
      <c r="B304" s="1" t="s">
        <v>12</v>
      </c>
      <c r="C304" s="1" t="s">
        <v>14</v>
      </c>
      <c r="D304" s="1" t="s">
        <v>39</v>
      </c>
      <c r="E304" t="s">
        <v>78</v>
      </c>
      <c r="F304" t="s">
        <v>20</v>
      </c>
      <c r="G304" t="str">
        <f>VLOOKUP(E304,Sheet1!$B$1:$D$41,2,FALSE)</f>
        <v>Walid</v>
      </c>
      <c r="H304" t="str">
        <f>VLOOKUP(F304,Sheet1!$B$1:$D$41,2,FALSE)</f>
        <v>Simon</v>
      </c>
      <c r="I304">
        <f>VLOOKUP(E304,Sheet1!$B$1:$D$41,3,FALSE)</f>
        <v>3823441</v>
      </c>
      <c r="J304">
        <f>VLOOKUP(F304,Sheet1!$B$1:$D$41,3,FALSE)</f>
        <v>3802409</v>
      </c>
    </row>
    <row r="305" spans="1:10" x14ac:dyDescent="0.25">
      <c r="A305">
        <f>A301+1</f>
        <v>32</v>
      </c>
      <c r="B305" s="1" t="s">
        <v>12</v>
      </c>
      <c r="C305" s="1" t="s">
        <v>14</v>
      </c>
      <c r="D305" s="1" t="s">
        <v>39</v>
      </c>
      <c r="E305" t="s">
        <v>18</v>
      </c>
      <c r="F305" t="s">
        <v>19</v>
      </c>
      <c r="G305" t="str">
        <f>VLOOKUP(E305,Sheet1!$B$1:$D$41,2,FALSE)</f>
        <v>Andy</v>
      </c>
      <c r="H305" t="str">
        <f>VLOOKUP(F305,Sheet1!$B$1:$D$41,2,FALSE)</f>
        <v>Keith</v>
      </c>
      <c r="I305">
        <f>VLOOKUP(E305,Sheet1!$B$1:$D$41,3,FALSE)</f>
        <v>36150</v>
      </c>
      <c r="J305">
        <f>VLOOKUP(F305,Sheet1!$B$1:$D$41,3,FALSE)</f>
        <v>3803304</v>
      </c>
    </row>
    <row r="306" spans="1:10" x14ac:dyDescent="0.25">
      <c r="A306">
        <f>A302+1</f>
        <v>33</v>
      </c>
      <c r="B306" s="1" t="s">
        <v>12</v>
      </c>
      <c r="C306" s="1" t="s">
        <v>14</v>
      </c>
      <c r="D306" s="1" t="s">
        <v>39</v>
      </c>
      <c r="E306" t="s">
        <v>17</v>
      </c>
      <c r="F306" t="s">
        <v>18</v>
      </c>
      <c r="G306" t="str">
        <f>VLOOKUP(E306,Sheet1!$B$1:$D$41,2,FALSE)</f>
        <v>James</v>
      </c>
      <c r="H306" t="str">
        <f>VLOOKUP(F306,Sheet1!$B$1:$D$41,2,FALSE)</f>
        <v>Andy</v>
      </c>
      <c r="I306">
        <f>VLOOKUP(E306,Sheet1!$B$1:$D$41,3,FALSE)</f>
        <v>16280</v>
      </c>
      <c r="J306">
        <f>VLOOKUP(F306,Sheet1!$B$1:$D$41,3,FALSE)</f>
        <v>36150</v>
      </c>
    </row>
    <row r="307" spans="1:10" x14ac:dyDescent="0.25">
      <c r="A307">
        <f>A303+1</f>
        <v>33</v>
      </c>
      <c r="B307" s="1" t="s">
        <v>12</v>
      </c>
      <c r="C307" s="1" t="s">
        <v>14</v>
      </c>
      <c r="D307" s="1" t="s">
        <v>39</v>
      </c>
      <c r="E307" t="s">
        <v>19</v>
      </c>
      <c r="F307" t="s">
        <v>78</v>
      </c>
      <c r="G307" t="str">
        <f>VLOOKUP(E307,Sheet1!$B$1:$D$41,2,FALSE)</f>
        <v>Keith</v>
      </c>
      <c r="H307" t="str">
        <f>VLOOKUP(F307,Sheet1!$B$1:$D$41,2,FALSE)</f>
        <v>Walid</v>
      </c>
      <c r="I307">
        <f>VLOOKUP(E307,Sheet1!$B$1:$D$41,3,FALSE)</f>
        <v>3803304</v>
      </c>
      <c r="J307">
        <f>VLOOKUP(F307,Sheet1!$B$1:$D$41,3,FALSE)</f>
        <v>3823441</v>
      </c>
    </row>
    <row r="308" spans="1:10" x14ac:dyDescent="0.25">
      <c r="A308">
        <f>A304+1</f>
        <v>33</v>
      </c>
      <c r="B308" s="1" t="s">
        <v>12</v>
      </c>
      <c r="C308" s="1" t="s">
        <v>14</v>
      </c>
      <c r="D308" s="1" t="s">
        <v>39</v>
      </c>
      <c r="E308" t="s">
        <v>20</v>
      </c>
      <c r="F308" t="s">
        <v>16</v>
      </c>
      <c r="G308" t="str">
        <f>VLOOKUP(E308,Sheet1!$B$1:$D$41,2,FALSE)</f>
        <v>Simon</v>
      </c>
      <c r="H308" t="str">
        <f>VLOOKUP(F308,Sheet1!$B$1:$D$41,2,FALSE)</f>
        <v>Gordon</v>
      </c>
      <c r="I308">
        <f>VLOOKUP(E308,Sheet1!$B$1:$D$41,3,FALSE)</f>
        <v>3802409</v>
      </c>
      <c r="J308">
        <f>VLOOKUP(F308,Sheet1!$B$1:$D$41,3,FALSE)</f>
        <v>2347381</v>
      </c>
    </row>
    <row r="309" spans="1:10" x14ac:dyDescent="0.25">
      <c r="A309">
        <f>A305+1</f>
        <v>33</v>
      </c>
      <c r="B309" s="1" t="s">
        <v>12</v>
      </c>
      <c r="C309" s="1" t="s">
        <v>14</v>
      </c>
      <c r="D309" s="1" t="s">
        <v>39</v>
      </c>
      <c r="E309" t="s">
        <v>15</v>
      </c>
      <c r="F309" t="s">
        <v>79</v>
      </c>
      <c r="G309" t="str">
        <f>VLOOKUP(E309,Sheet1!$B$1:$D$41,2,FALSE)</f>
        <v>Gavin</v>
      </c>
      <c r="H309" t="str">
        <f>VLOOKUP(F309,Sheet1!$B$1:$D$41,2,FALSE)</f>
        <v>Steven</v>
      </c>
      <c r="I309">
        <f>VLOOKUP(E309,Sheet1!$B$1:$D$41,3,FALSE)</f>
        <v>3801379</v>
      </c>
      <c r="J309">
        <f>VLOOKUP(F309,Sheet1!$B$1:$D$41,3,FALSE)</f>
        <v>3824633</v>
      </c>
    </row>
    <row r="310" spans="1:10" x14ac:dyDescent="0.25">
      <c r="A310">
        <f>A306+1</f>
        <v>34</v>
      </c>
      <c r="B310" s="1" t="s">
        <v>12</v>
      </c>
      <c r="C310" s="1" t="s">
        <v>14</v>
      </c>
      <c r="D310" s="1" t="s">
        <v>39</v>
      </c>
      <c r="E310" t="s">
        <v>16</v>
      </c>
      <c r="F310" t="s">
        <v>17</v>
      </c>
      <c r="G310" t="str">
        <f>VLOOKUP(E310,Sheet1!$B$1:$D$41,2,FALSE)</f>
        <v>Gordon</v>
      </c>
      <c r="H310" t="str">
        <f>VLOOKUP(F310,Sheet1!$B$1:$D$41,2,FALSE)</f>
        <v>James</v>
      </c>
      <c r="I310">
        <f>VLOOKUP(E310,Sheet1!$B$1:$D$41,3,FALSE)</f>
        <v>2347381</v>
      </c>
      <c r="J310">
        <f>VLOOKUP(F310,Sheet1!$B$1:$D$41,3,FALSE)</f>
        <v>16280</v>
      </c>
    </row>
    <row r="311" spans="1:10" x14ac:dyDescent="0.25">
      <c r="A311">
        <f>A307+1</f>
        <v>34</v>
      </c>
      <c r="B311" s="1" t="s">
        <v>12</v>
      </c>
      <c r="C311" s="1" t="s">
        <v>14</v>
      </c>
      <c r="D311" s="1" t="s">
        <v>39</v>
      </c>
      <c r="E311" t="s">
        <v>78</v>
      </c>
      <c r="F311" t="s">
        <v>79</v>
      </c>
      <c r="G311" t="str">
        <f>VLOOKUP(E311,Sheet1!$B$1:$D$41,2,FALSE)</f>
        <v>Walid</v>
      </c>
      <c r="H311" t="str">
        <f>VLOOKUP(F311,Sheet1!$B$1:$D$41,2,FALSE)</f>
        <v>Steven</v>
      </c>
      <c r="I311">
        <f>VLOOKUP(E311,Sheet1!$B$1:$D$41,3,FALSE)</f>
        <v>3823441</v>
      </c>
      <c r="J311">
        <f>VLOOKUP(F311,Sheet1!$B$1:$D$41,3,FALSE)</f>
        <v>3824633</v>
      </c>
    </row>
    <row r="312" spans="1:10" x14ac:dyDescent="0.25">
      <c r="A312">
        <f>A308+1</f>
        <v>34</v>
      </c>
      <c r="B312" s="1" t="s">
        <v>12</v>
      </c>
      <c r="C312" s="1" t="s">
        <v>14</v>
      </c>
      <c r="D312" s="1" t="s">
        <v>39</v>
      </c>
      <c r="E312" t="s">
        <v>18</v>
      </c>
      <c r="F312" t="s">
        <v>15</v>
      </c>
      <c r="G312" t="str">
        <f>VLOOKUP(E312,Sheet1!$B$1:$D$41,2,FALSE)</f>
        <v>Andy</v>
      </c>
      <c r="H312" t="str">
        <f>VLOOKUP(F312,Sheet1!$B$1:$D$41,2,FALSE)</f>
        <v>Gavin</v>
      </c>
      <c r="I312">
        <f>VLOOKUP(E312,Sheet1!$B$1:$D$41,3,FALSE)</f>
        <v>36150</v>
      </c>
      <c r="J312">
        <f>VLOOKUP(F312,Sheet1!$B$1:$D$41,3,FALSE)</f>
        <v>3801379</v>
      </c>
    </row>
    <row r="313" spans="1:10" x14ac:dyDescent="0.25">
      <c r="A313">
        <f>A309+1</f>
        <v>34</v>
      </c>
      <c r="B313" s="1" t="s">
        <v>12</v>
      </c>
      <c r="C313" s="1" t="s">
        <v>14</v>
      </c>
      <c r="D313" s="1" t="s">
        <v>39</v>
      </c>
      <c r="E313" t="s">
        <v>19</v>
      </c>
      <c r="F313" t="s">
        <v>20</v>
      </c>
      <c r="G313" t="str">
        <f>VLOOKUP(E313,Sheet1!$B$1:$D$41,2,FALSE)</f>
        <v>Keith</v>
      </c>
      <c r="H313" t="str">
        <f>VLOOKUP(F313,Sheet1!$B$1:$D$41,2,FALSE)</f>
        <v>Simon</v>
      </c>
      <c r="I313">
        <f>VLOOKUP(E313,Sheet1!$B$1:$D$41,3,FALSE)</f>
        <v>3803304</v>
      </c>
      <c r="J313">
        <f>VLOOKUP(F313,Sheet1!$B$1:$D$41,3,FALSE)</f>
        <v>3802409</v>
      </c>
    </row>
    <row r="314" spans="1:10" x14ac:dyDescent="0.25">
      <c r="A314">
        <f>A310+1</f>
        <v>35</v>
      </c>
      <c r="B314" s="1" t="s">
        <v>12</v>
      </c>
      <c r="C314" s="1" t="s">
        <v>14</v>
      </c>
      <c r="D314" s="1" t="s">
        <v>39</v>
      </c>
      <c r="E314" t="s">
        <v>17</v>
      </c>
      <c r="F314" t="s">
        <v>19</v>
      </c>
      <c r="G314" t="str">
        <f>VLOOKUP(E314,Sheet1!$B$1:$D$41,2,FALSE)</f>
        <v>James</v>
      </c>
      <c r="H314" t="str">
        <f>VLOOKUP(F314,Sheet1!$B$1:$D$41,2,FALSE)</f>
        <v>Keith</v>
      </c>
      <c r="I314">
        <f>VLOOKUP(E314,Sheet1!$B$1:$D$41,3,FALSE)</f>
        <v>16280</v>
      </c>
      <c r="J314">
        <f>VLOOKUP(F314,Sheet1!$B$1:$D$41,3,FALSE)</f>
        <v>3803304</v>
      </c>
    </row>
    <row r="315" spans="1:10" x14ac:dyDescent="0.25">
      <c r="A315">
        <f>A311+1</f>
        <v>35</v>
      </c>
      <c r="B315" s="1" t="s">
        <v>12</v>
      </c>
      <c r="C315" s="1" t="s">
        <v>14</v>
      </c>
      <c r="D315" s="1" t="s">
        <v>39</v>
      </c>
      <c r="E315" t="s">
        <v>20</v>
      </c>
      <c r="F315" t="s">
        <v>18</v>
      </c>
      <c r="G315" t="str">
        <f>VLOOKUP(E315,Sheet1!$B$1:$D$41,2,FALSE)</f>
        <v>Simon</v>
      </c>
      <c r="H315" t="str">
        <f>VLOOKUP(F315,Sheet1!$B$1:$D$41,2,FALSE)</f>
        <v>Andy</v>
      </c>
      <c r="I315">
        <f>VLOOKUP(E315,Sheet1!$B$1:$D$41,3,FALSE)</f>
        <v>3802409</v>
      </c>
      <c r="J315">
        <f>VLOOKUP(F315,Sheet1!$B$1:$D$41,3,FALSE)</f>
        <v>36150</v>
      </c>
    </row>
    <row r="316" spans="1:10" x14ac:dyDescent="0.25">
      <c r="A316">
        <f>A312+1</f>
        <v>35</v>
      </c>
      <c r="B316" s="1" t="s">
        <v>12</v>
      </c>
      <c r="C316" s="1" t="s">
        <v>14</v>
      </c>
      <c r="D316" s="1" t="s">
        <v>39</v>
      </c>
      <c r="E316" t="s">
        <v>15</v>
      </c>
      <c r="F316" t="s">
        <v>78</v>
      </c>
      <c r="G316" t="str">
        <f>VLOOKUP(E316,Sheet1!$B$1:$D$41,2,FALSE)</f>
        <v>Gavin</v>
      </c>
      <c r="H316" t="str">
        <f>VLOOKUP(F316,Sheet1!$B$1:$D$41,2,FALSE)</f>
        <v>Walid</v>
      </c>
      <c r="I316">
        <f>VLOOKUP(E316,Sheet1!$B$1:$D$41,3,FALSE)</f>
        <v>3801379</v>
      </c>
      <c r="J316">
        <f>VLOOKUP(F316,Sheet1!$B$1:$D$41,3,FALSE)</f>
        <v>3823441</v>
      </c>
    </row>
    <row r="317" spans="1:10" x14ac:dyDescent="0.25">
      <c r="A317">
        <f>A313+1</f>
        <v>35</v>
      </c>
      <c r="B317" s="1" t="s">
        <v>12</v>
      </c>
      <c r="C317" s="1" t="s">
        <v>14</v>
      </c>
      <c r="D317" s="1" t="s">
        <v>39</v>
      </c>
      <c r="E317" t="s">
        <v>79</v>
      </c>
      <c r="F317" t="s">
        <v>16</v>
      </c>
      <c r="G317" t="str">
        <f>VLOOKUP(E317,Sheet1!$B$1:$D$41,2,FALSE)</f>
        <v>Steven</v>
      </c>
      <c r="H317" t="str">
        <f>VLOOKUP(F317,Sheet1!$B$1:$D$41,2,FALSE)</f>
        <v>Gordon</v>
      </c>
      <c r="I317">
        <f>VLOOKUP(E317,Sheet1!$B$1:$D$41,3,FALSE)</f>
        <v>3824633</v>
      </c>
      <c r="J317">
        <f>VLOOKUP(F317,Sheet1!$B$1:$D$41,3,FALSE)</f>
        <v>2347381</v>
      </c>
    </row>
    <row r="318" spans="1:10" x14ac:dyDescent="0.25">
      <c r="A318">
        <f>A314+1</f>
        <v>36</v>
      </c>
      <c r="B318" s="1" t="s">
        <v>12</v>
      </c>
      <c r="C318" s="1" t="s">
        <v>14</v>
      </c>
      <c r="D318" s="1" t="s">
        <v>39</v>
      </c>
      <c r="E318" t="s">
        <v>20</v>
      </c>
      <c r="F318" t="s">
        <v>17</v>
      </c>
      <c r="G318" t="str">
        <f>VLOOKUP(E318,Sheet1!$B$1:$D$41,2,FALSE)</f>
        <v>Simon</v>
      </c>
      <c r="H318" t="str">
        <f>VLOOKUP(F318,Sheet1!$B$1:$D$41,2,FALSE)</f>
        <v>James</v>
      </c>
      <c r="I318">
        <f>VLOOKUP(E318,Sheet1!$B$1:$D$41,3,FALSE)</f>
        <v>3802409</v>
      </c>
      <c r="J318">
        <f>VLOOKUP(F318,Sheet1!$B$1:$D$41,3,FALSE)</f>
        <v>16280</v>
      </c>
    </row>
    <row r="319" spans="1:10" x14ac:dyDescent="0.25">
      <c r="A319">
        <f>A315+1</f>
        <v>36</v>
      </c>
      <c r="B319" s="1" t="s">
        <v>12</v>
      </c>
      <c r="C319" s="1" t="s">
        <v>14</v>
      </c>
      <c r="D319" s="1" t="s">
        <v>39</v>
      </c>
      <c r="E319" t="s">
        <v>15</v>
      </c>
      <c r="F319" t="s">
        <v>19</v>
      </c>
      <c r="G319" t="str">
        <f>VLOOKUP(E319,Sheet1!$B$1:$D$41,2,FALSE)</f>
        <v>Gavin</v>
      </c>
      <c r="H319" t="str">
        <f>VLOOKUP(F319,Sheet1!$B$1:$D$41,2,FALSE)</f>
        <v>Keith</v>
      </c>
      <c r="I319">
        <f>VLOOKUP(E319,Sheet1!$B$1:$D$41,3,FALSE)</f>
        <v>3801379</v>
      </c>
      <c r="J319">
        <f>VLOOKUP(F319,Sheet1!$B$1:$D$41,3,FALSE)</f>
        <v>3803304</v>
      </c>
    </row>
    <row r="320" spans="1:10" x14ac:dyDescent="0.25">
      <c r="A320">
        <f>A316+1</f>
        <v>36</v>
      </c>
      <c r="B320" s="1" t="s">
        <v>12</v>
      </c>
      <c r="C320" s="1" t="s">
        <v>14</v>
      </c>
      <c r="D320" s="1" t="s">
        <v>39</v>
      </c>
      <c r="E320" t="s">
        <v>79</v>
      </c>
      <c r="F320" t="s">
        <v>18</v>
      </c>
      <c r="G320" t="str">
        <f>VLOOKUP(E320,Sheet1!$B$1:$D$41,2,FALSE)</f>
        <v>Steven</v>
      </c>
      <c r="H320" t="str">
        <f>VLOOKUP(F320,Sheet1!$B$1:$D$41,2,FALSE)</f>
        <v>Andy</v>
      </c>
      <c r="I320">
        <f>VLOOKUP(E320,Sheet1!$B$1:$D$41,3,FALSE)</f>
        <v>3824633</v>
      </c>
      <c r="J320">
        <f>VLOOKUP(F320,Sheet1!$B$1:$D$41,3,FALSE)</f>
        <v>36150</v>
      </c>
    </row>
    <row r="321" spans="1:10" x14ac:dyDescent="0.25">
      <c r="A321">
        <f>A317+1</f>
        <v>36</v>
      </c>
      <c r="B321" s="1" t="s">
        <v>12</v>
      </c>
      <c r="C321" s="1" t="s">
        <v>14</v>
      </c>
      <c r="D321" s="1" t="s">
        <v>39</v>
      </c>
      <c r="E321" t="s">
        <v>16</v>
      </c>
      <c r="F321" t="s">
        <v>78</v>
      </c>
      <c r="G321" t="str">
        <f>VLOOKUP(E321,Sheet1!$B$1:$D$41,2,FALSE)</f>
        <v>Gordon</v>
      </c>
      <c r="H321" t="str">
        <f>VLOOKUP(F321,Sheet1!$B$1:$D$41,2,FALSE)</f>
        <v>Walid</v>
      </c>
      <c r="I321">
        <f>VLOOKUP(E321,Sheet1!$B$1:$D$41,3,FALSE)</f>
        <v>2347381</v>
      </c>
      <c r="J321">
        <f>VLOOKUP(F321,Sheet1!$B$1:$D$41,3,FALSE)</f>
        <v>3823441</v>
      </c>
    </row>
    <row r="322" spans="1:10" x14ac:dyDescent="0.25">
      <c r="A322">
        <f>A318+1</f>
        <v>37</v>
      </c>
      <c r="B322" s="1" t="s">
        <v>12</v>
      </c>
      <c r="C322" s="1" t="s">
        <v>14</v>
      </c>
      <c r="D322" s="1" t="s">
        <v>40</v>
      </c>
    </row>
    <row r="323" spans="1:10" x14ac:dyDescent="0.25">
      <c r="A323">
        <f>A319+1</f>
        <v>37</v>
      </c>
      <c r="B323" s="1" t="s">
        <v>12</v>
      </c>
      <c r="C323" s="1" t="s">
        <v>14</v>
      </c>
      <c r="D323" s="1" t="s">
        <v>40</v>
      </c>
    </row>
    <row r="324" spans="1:10" x14ac:dyDescent="0.25">
      <c r="A324">
        <f>A320+1</f>
        <v>37</v>
      </c>
      <c r="B324" s="1" t="s">
        <v>12</v>
      </c>
      <c r="C324" s="1" t="s">
        <v>14</v>
      </c>
      <c r="D324" s="1" t="s">
        <v>40</v>
      </c>
    </row>
    <row r="325" spans="1:10" x14ac:dyDescent="0.25">
      <c r="A325">
        <f>A321+1</f>
        <v>37</v>
      </c>
      <c r="B325" s="1" t="s">
        <v>12</v>
      </c>
      <c r="C325" s="1" t="s">
        <v>14</v>
      </c>
      <c r="D325" s="1" t="s">
        <v>40</v>
      </c>
    </row>
    <row r="326" spans="1:10" x14ac:dyDescent="0.25">
      <c r="A326">
        <f>A322+1</f>
        <v>38</v>
      </c>
      <c r="B326" s="1" t="s">
        <v>12</v>
      </c>
      <c r="C326" s="1" t="s">
        <v>14</v>
      </c>
      <c r="D326" s="1" t="s">
        <v>41</v>
      </c>
    </row>
    <row r="327" spans="1:10" x14ac:dyDescent="0.25">
      <c r="A327">
        <f>A323+1</f>
        <v>38</v>
      </c>
      <c r="B327" s="1" t="s">
        <v>12</v>
      </c>
      <c r="C327" s="1" t="s">
        <v>14</v>
      </c>
      <c r="D327" s="1" t="s">
        <v>41</v>
      </c>
    </row>
    <row r="328" spans="1:10" x14ac:dyDescent="0.25">
      <c r="A328">
        <f>A324+1</f>
        <v>38</v>
      </c>
      <c r="B328" s="1" t="s">
        <v>12</v>
      </c>
      <c r="C328" s="1" t="s">
        <v>14</v>
      </c>
      <c r="D328" s="1" t="s">
        <v>42</v>
      </c>
    </row>
    <row r="329" spans="1:10" x14ac:dyDescent="0.25">
      <c r="A329">
        <f>A325+1</f>
        <v>38</v>
      </c>
      <c r="B329" s="1" t="s">
        <v>12</v>
      </c>
      <c r="C329" s="1" t="s">
        <v>14</v>
      </c>
      <c r="D329" s="1" t="s">
        <v>42</v>
      </c>
    </row>
    <row r="330" spans="1:10" x14ac:dyDescent="0.25">
      <c r="A330">
        <f>A326+1</f>
        <v>39</v>
      </c>
      <c r="B330" s="1" t="s">
        <v>12</v>
      </c>
      <c r="C330" s="1" t="s">
        <v>14</v>
      </c>
      <c r="D330" s="1" t="s">
        <v>43</v>
      </c>
    </row>
    <row r="331" spans="1:10" x14ac:dyDescent="0.25">
      <c r="A331">
        <f>A327+1</f>
        <v>39</v>
      </c>
      <c r="B331" s="1" t="s">
        <v>12</v>
      </c>
      <c r="C331" s="1" t="s">
        <v>14</v>
      </c>
      <c r="D331" s="1" t="s">
        <v>46</v>
      </c>
    </row>
    <row r="332" spans="1:10" x14ac:dyDescent="0.25">
      <c r="A332">
        <f>A328+1</f>
        <v>39</v>
      </c>
      <c r="B332" s="1" t="s">
        <v>12</v>
      </c>
      <c r="C332" s="1" t="s">
        <v>14</v>
      </c>
      <c r="D332" s="1" t="s">
        <v>45</v>
      </c>
    </row>
    <row r="333" spans="1:10" x14ac:dyDescent="0.25">
      <c r="A333">
        <f>A329+1</f>
        <v>39</v>
      </c>
      <c r="B333" s="1" t="s">
        <v>12</v>
      </c>
      <c r="C333" s="1" t="s">
        <v>14</v>
      </c>
      <c r="D333" s="1" t="s">
        <v>44</v>
      </c>
    </row>
    <row r="334" spans="1:10" x14ac:dyDescent="0.25">
      <c r="A334">
        <v>1</v>
      </c>
      <c r="B334" s="1" t="s">
        <v>21</v>
      </c>
      <c r="C334" s="1" t="s">
        <v>14</v>
      </c>
      <c r="D334" s="1" t="s">
        <v>39</v>
      </c>
      <c r="E334" t="s">
        <v>22</v>
      </c>
      <c r="F334" t="s">
        <v>25</v>
      </c>
      <c r="G334" t="str">
        <f>VLOOKUP(E334,Sheet1!$B$1:$D$41,2,FALSE)</f>
        <v>James</v>
      </c>
      <c r="H334" t="str">
        <f>VLOOKUP(F334,Sheet1!$B$1:$D$41,2,FALSE)</f>
        <v>Andy</v>
      </c>
      <c r="I334">
        <f>VLOOKUP(E334,Sheet1!$B$1:$D$41,3,FALSE)</f>
        <v>191239</v>
      </c>
      <c r="J334">
        <f>VLOOKUP(F334,Sheet1!$B$1:$D$41,3,FALSE)</f>
        <v>1106737</v>
      </c>
    </row>
    <row r="335" spans="1:10" x14ac:dyDescent="0.25">
      <c r="A335">
        <v>1</v>
      </c>
      <c r="B335" s="1" t="s">
        <v>21</v>
      </c>
      <c r="C335" s="1" t="s">
        <v>14</v>
      </c>
      <c r="D335" s="1" t="s">
        <v>39</v>
      </c>
      <c r="E335" t="s">
        <v>80</v>
      </c>
      <c r="F335" t="s">
        <v>28</v>
      </c>
      <c r="G335" t="str">
        <f>VLOOKUP(E335,Sheet1!$B$1:$D$41,2,FALSE)</f>
        <v>Steven</v>
      </c>
      <c r="H335" t="str">
        <f>VLOOKUP(F335,Sheet1!$B$1:$D$41,2,FALSE)</f>
        <v>Keith</v>
      </c>
      <c r="I335">
        <f>VLOOKUP(E335,Sheet1!$B$1:$D$41,3,FALSE)</f>
        <v>200257</v>
      </c>
      <c r="J335">
        <f>VLOOKUP(F335,Sheet1!$B$1:$D$41,3,FALSE)</f>
        <v>3014705</v>
      </c>
    </row>
    <row r="336" spans="1:10" x14ac:dyDescent="0.25">
      <c r="A336">
        <v>1</v>
      </c>
      <c r="B336" s="1" t="s">
        <v>21</v>
      </c>
      <c r="C336" s="1" t="s">
        <v>14</v>
      </c>
      <c r="D336" s="1" t="s">
        <v>39</v>
      </c>
      <c r="E336" t="s">
        <v>23</v>
      </c>
      <c r="F336" t="s">
        <v>27</v>
      </c>
      <c r="G336" t="str">
        <f>VLOOKUP(E336,Sheet1!$B$1:$D$41,2,FALSE)</f>
        <v>Simon</v>
      </c>
      <c r="H336" t="str">
        <f>VLOOKUP(F336,Sheet1!$B$1:$D$41,2,FALSE)</f>
        <v>Gordon</v>
      </c>
      <c r="I336">
        <f>VLOOKUP(E336,Sheet1!$B$1:$D$41,3,FALSE)</f>
        <v>2438184</v>
      </c>
      <c r="J336">
        <f>VLOOKUP(F336,Sheet1!$B$1:$D$41,3,FALSE)</f>
        <v>1177922</v>
      </c>
    </row>
    <row r="337" spans="1:10" x14ac:dyDescent="0.25">
      <c r="A337">
        <v>1</v>
      </c>
      <c r="B337" s="1" t="s">
        <v>21</v>
      </c>
      <c r="C337" s="1" t="s">
        <v>14</v>
      </c>
      <c r="D337" s="1" t="s">
        <v>39</v>
      </c>
      <c r="E337" t="s">
        <v>24</v>
      </c>
      <c r="F337" t="s">
        <v>26</v>
      </c>
      <c r="G337" t="str">
        <f>VLOOKUP(E337,Sheet1!$B$1:$D$41,2,FALSE)</f>
        <v>Gavin</v>
      </c>
      <c r="H337" t="str">
        <f>VLOOKUP(F337,Sheet1!$B$1:$D$41,2,FALSE)</f>
        <v>Walid</v>
      </c>
      <c r="I337">
        <f>VLOOKUP(E337,Sheet1!$B$1:$D$41,3,FALSE)</f>
        <v>3015602</v>
      </c>
      <c r="J337">
        <f>VLOOKUP(F337,Sheet1!$B$1:$D$41,3,FALSE)</f>
        <v>2359578</v>
      </c>
    </row>
    <row r="338" spans="1:10" x14ac:dyDescent="0.25">
      <c r="A338">
        <f>A334+1</f>
        <v>2</v>
      </c>
      <c r="B338" s="1" t="s">
        <v>21</v>
      </c>
      <c r="C338" s="1" t="s">
        <v>14</v>
      </c>
      <c r="D338" s="1" t="s">
        <v>39</v>
      </c>
      <c r="E338" t="s">
        <v>25</v>
      </c>
      <c r="F338" t="s">
        <v>24</v>
      </c>
      <c r="G338" t="str">
        <f>VLOOKUP(E338,Sheet1!$B$1:$D$41,2,FALSE)</f>
        <v>Andy</v>
      </c>
      <c r="H338" t="str">
        <f>VLOOKUP(F338,Sheet1!$B$1:$D$41,2,FALSE)</f>
        <v>Gavin</v>
      </c>
      <c r="I338">
        <f>VLOOKUP(E338,Sheet1!$B$1:$D$41,3,FALSE)</f>
        <v>1106737</v>
      </c>
      <c r="J338">
        <f>VLOOKUP(F338,Sheet1!$B$1:$D$41,3,FALSE)</f>
        <v>3015602</v>
      </c>
    </row>
    <row r="339" spans="1:10" x14ac:dyDescent="0.25">
      <c r="A339">
        <f>A335+1</f>
        <v>2</v>
      </c>
      <c r="B339" s="1" t="s">
        <v>21</v>
      </c>
      <c r="C339" s="1" t="s">
        <v>14</v>
      </c>
      <c r="D339" s="1" t="s">
        <v>39</v>
      </c>
      <c r="E339" t="s">
        <v>26</v>
      </c>
      <c r="F339" t="s">
        <v>23</v>
      </c>
      <c r="G339" t="str">
        <f>VLOOKUP(E339,Sheet1!$B$1:$D$41,2,FALSE)</f>
        <v>Walid</v>
      </c>
      <c r="H339" t="str">
        <f>VLOOKUP(F339,Sheet1!$B$1:$D$41,2,FALSE)</f>
        <v>Simon</v>
      </c>
      <c r="I339">
        <f>VLOOKUP(E339,Sheet1!$B$1:$D$41,3,FALSE)</f>
        <v>2359578</v>
      </c>
      <c r="J339">
        <f>VLOOKUP(F339,Sheet1!$B$1:$D$41,3,FALSE)</f>
        <v>2438184</v>
      </c>
    </row>
    <row r="340" spans="1:10" x14ac:dyDescent="0.25">
      <c r="A340">
        <f>A336+1</f>
        <v>2</v>
      </c>
      <c r="B340" s="1" t="s">
        <v>21</v>
      </c>
      <c r="C340" s="1" t="s">
        <v>14</v>
      </c>
      <c r="D340" s="1" t="s">
        <v>39</v>
      </c>
      <c r="E340" t="s">
        <v>27</v>
      </c>
      <c r="F340" t="s">
        <v>80</v>
      </c>
      <c r="G340" t="str">
        <f>VLOOKUP(E340,Sheet1!$B$1:$D$41,2,FALSE)</f>
        <v>Gordon</v>
      </c>
      <c r="H340" t="str">
        <f>VLOOKUP(F340,Sheet1!$B$1:$D$41,2,FALSE)</f>
        <v>Steven</v>
      </c>
      <c r="I340">
        <f>VLOOKUP(E340,Sheet1!$B$1:$D$41,3,FALSE)</f>
        <v>1177922</v>
      </c>
      <c r="J340">
        <f>VLOOKUP(F340,Sheet1!$B$1:$D$41,3,FALSE)</f>
        <v>200257</v>
      </c>
    </row>
    <row r="341" spans="1:10" x14ac:dyDescent="0.25">
      <c r="A341">
        <f>A337+1</f>
        <v>2</v>
      </c>
      <c r="B341" s="1" t="s">
        <v>21</v>
      </c>
      <c r="C341" s="1" t="s">
        <v>14</v>
      </c>
      <c r="D341" s="1" t="s">
        <v>39</v>
      </c>
      <c r="E341" t="s">
        <v>28</v>
      </c>
      <c r="F341" t="s">
        <v>22</v>
      </c>
      <c r="G341" t="str">
        <f>VLOOKUP(E341,Sheet1!$B$1:$D$41,2,FALSE)</f>
        <v>Keith</v>
      </c>
      <c r="H341" t="str">
        <f>VLOOKUP(F341,Sheet1!$B$1:$D$41,2,FALSE)</f>
        <v>James</v>
      </c>
      <c r="I341">
        <f>VLOOKUP(E341,Sheet1!$B$1:$D$41,3,FALSE)</f>
        <v>3014705</v>
      </c>
      <c r="J341">
        <f>VLOOKUP(F341,Sheet1!$B$1:$D$41,3,FALSE)</f>
        <v>191239</v>
      </c>
    </row>
    <row r="342" spans="1:10" x14ac:dyDescent="0.25">
      <c r="A342">
        <f>A338+1</f>
        <v>3</v>
      </c>
      <c r="B342" s="1" t="s">
        <v>21</v>
      </c>
      <c r="C342" s="1" t="s">
        <v>14</v>
      </c>
      <c r="D342" s="1" t="s">
        <v>39</v>
      </c>
      <c r="E342" t="s">
        <v>80</v>
      </c>
      <c r="F342" t="s">
        <v>25</v>
      </c>
      <c r="G342" t="str">
        <f>VLOOKUP(E342,Sheet1!$B$1:$D$41,2,FALSE)</f>
        <v>Steven</v>
      </c>
      <c r="H342" t="str">
        <f>VLOOKUP(F342,Sheet1!$B$1:$D$41,2,FALSE)</f>
        <v>Andy</v>
      </c>
      <c r="I342">
        <f>VLOOKUP(E342,Sheet1!$B$1:$D$41,3,FALSE)</f>
        <v>200257</v>
      </c>
      <c r="J342">
        <f>VLOOKUP(F342,Sheet1!$B$1:$D$41,3,FALSE)</f>
        <v>1106737</v>
      </c>
    </row>
    <row r="343" spans="1:10" x14ac:dyDescent="0.25">
      <c r="A343">
        <f>A339+1</f>
        <v>3</v>
      </c>
      <c r="B343" s="1" t="s">
        <v>21</v>
      </c>
      <c r="C343" s="1" t="s">
        <v>14</v>
      </c>
      <c r="D343" s="1" t="s">
        <v>39</v>
      </c>
      <c r="E343" t="s">
        <v>23</v>
      </c>
      <c r="F343" t="s">
        <v>22</v>
      </c>
      <c r="G343" t="str">
        <f>VLOOKUP(E343,Sheet1!$B$1:$D$41,2,FALSE)</f>
        <v>Simon</v>
      </c>
      <c r="H343" t="str">
        <f>VLOOKUP(F343,Sheet1!$B$1:$D$41,2,FALSE)</f>
        <v>James</v>
      </c>
      <c r="I343">
        <f>VLOOKUP(E343,Sheet1!$B$1:$D$41,3,FALSE)</f>
        <v>2438184</v>
      </c>
      <c r="J343">
        <f>VLOOKUP(F343,Sheet1!$B$1:$D$41,3,FALSE)</f>
        <v>191239</v>
      </c>
    </row>
    <row r="344" spans="1:10" x14ac:dyDescent="0.25">
      <c r="A344">
        <f>A340+1</f>
        <v>3</v>
      </c>
      <c r="B344" s="1" t="s">
        <v>21</v>
      </c>
      <c r="C344" s="1" t="s">
        <v>14</v>
      </c>
      <c r="D344" s="1" t="s">
        <v>39</v>
      </c>
      <c r="E344" t="s">
        <v>24</v>
      </c>
      <c r="F344" t="s">
        <v>28</v>
      </c>
      <c r="G344" t="str">
        <f>VLOOKUP(E344,Sheet1!$B$1:$D$41,2,FALSE)</f>
        <v>Gavin</v>
      </c>
      <c r="H344" t="str">
        <f>VLOOKUP(F344,Sheet1!$B$1:$D$41,2,FALSE)</f>
        <v>Keith</v>
      </c>
      <c r="I344">
        <f>VLOOKUP(E344,Sheet1!$B$1:$D$41,3,FALSE)</f>
        <v>3015602</v>
      </c>
      <c r="J344">
        <f>VLOOKUP(F344,Sheet1!$B$1:$D$41,3,FALSE)</f>
        <v>3014705</v>
      </c>
    </row>
    <row r="345" spans="1:10" x14ac:dyDescent="0.25">
      <c r="A345">
        <f>A341+1</f>
        <v>3</v>
      </c>
      <c r="B345" s="1" t="s">
        <v>21</v>
      </c>
      <c r="C345" s="1" t="s">
        <v>14</v>
      </c>
      <c r="D345" s="1" t="s">
        <v>39</v>
      </c>
      <c r="E345" t="s">
        <v>26</v>
      </c>
      <c r="F345" t="s">
        <v>27</v>
      </c>
      <c r="G345" t="str">
        <f>VLOOKUP(E345,Sheet1!$B$1:$D$41,2,FALSE)</f>
        <v>Walid</v>
      </c>
      <c r="H345" t="str">
        <f>VLOOKUP(F345,Sheet1!$B$1:$D$41,2,FALSE)</f>
        <v>Gordon</v>
      </c>
      <c r="I345">
        <f>VLOOKUP(E345,Sheet1!$B$1:$D$41,3,FALSE)</f>
        <v>2359578</v>
      </c>
      <c r="J345">
        <f>VLOOKUP(F345,Sheet1!$B$1:$D$41,3,FALSE)</f>
        <v>1177922</v>
      </c>
    </row>
    <row r="346" spans="1:10" x14ac:dyDescent="0.25">
      <c r="A346">
        <f>A342+1</f>
        <v>4</v>
      </c>
      <c r="B346" s="1" t="s">
        <v>21</v>
      </c>
      <c r="C346" s="1" t="s">
        <v>14</v>
      </c>
      <c r="D346" s="1" t="s">
        <v>39</v>
      </c>
      <c r="E346" t="s">
        <v>25</v>
      </c>
      <c r="F346" t="s">
        <v>26</v>
      </c>
      <c r="G346" t="str">
        <f>VLOOKUP(E346,Sheet1!$B$1:$D$41,2,FALSE)</f>
        <v>Andy</v>
      </c>
      <c r="H346" t="str">
        <f>VLOOKUP(F346,Sheet1!$B$1:$D$41,2,FALSE)</f>
        <v>Walid</v>
      </c>
      <c r="I346">
        <f>VLOOKUP(E346,Sheet1!$B$1:$D$41,3,FALSE)</f>
        <v>1106737</v>
      </c>
      <c r="J346">
        <f>VLOOKUP(F346,Sheet1!$B$1:$D$41,3,FALSE)</f>
        <v>2359578</v>
      </c>
    </row>
    <row r="347" spans="1:10" x14ac:dyDescent="0.25">
      <c r="A347">
        <f>A343+1</f>
        <v>4</v>
      </c>
      <c r="B347" s="1" t="s">
        <v>21</v>
      </c>
      <c r="C347" s="1" t="s">
        <v>14</v>
      </c>
      <c r="D347" s="1" t="s">
        <v>39</v>
      </c>
      <c r="E347" t="s">
        <v>27</v>
      </c>
      <c r="F347" t="s">
        <v>24</v>
      </c>
      <c r="G347" t="str">
        <f>VLOOKUP(E347,Sheet1!$B$1:$D$41,2,FALSE)</f>
        <v>Gordon</v>
      </c>
      <c r="H347" t="str">
        <f>VLOOKUP(F347,Sheet1!$B$1:$D$41,2,FALSE)</f>
        <v>Gavin</v>
      </c>
      <c r="I347">
        <f>VLOOKUP(E347,Sheet1!$B$1:$D$41,3,FALSE)</f>
        <v>1177922</v>
      </c>
      <c r="J347">
        <f>VLOOKUP(F347,Sheet1!$B$1:$D$41,3,FALSE)</f>
        <v>3015602</v>
      </c>
    </row>
    <row r="348" spans="1:10" x14ac:dyDescent="0.25">
      <c r="A348">
        <f>A344+1</f>
        <v>4</v>
      </c>
      <c r="B348" s="1" t="s">
        <v>21</v>
      </c>
      <c r="C348" s="1" t="s">
        <v>14</v>
      </c>
      <c r="D348" s="1" t="s">
        <v>39</v>
      </c>
      <c r="E348" t="s">
        <v>28</v>
      </c>
      <c r="F348" t="s">
        <v>23</v>
      </c>
      <c r="G348" t="str">
        <f>VLOOKUP(E348,Sheet1!$B$1:$D$41,2,FALSE)</f>
        <v>Keith</v>
      </c>
      <c r="H348" t="str">
        <f>VLOOKUP(F348,Sheet1!$B$1:$D$41,2,FALSE)</f>
        <v>Simon</v>
      </c>
      <c r="I348">
        <f>VLOOKUP(E348,Sheet1!$B$1:$D$41,3,FALSE)</f>
        <v>3014705</v>
      </c>
      <c r="J348">
        <f>VLOOKUP(F348,Sheet1!$B$1:$D$41,3,FALSE)</f>
        <v>2438184</v>
      </c>
    </row>
    <row r="349" spans="1:10" x14ac:dyDescent="0.25">
      <c r="A349">
        <f>A345+1</f>
        <v>4</v>
      </c>
      <c r="B349" s="1" t="s">
        <v>21</v>
      </c>
      <c r="C349" s="1" t="s">
        <v>14</v>
      </c>
      <c r="D349" s="1" t="s">
        <v>39</v>
      </c>
      <c r="E349" t="s">
        <v>22</v>
      </c>
      <c r="F349" t="s">
        <v>80</v>
      </c>
      <c r="G349" t="str">
        <f>VLOOKUP(E349,Sheet1!$B$1:$D$41,2,FALSE)</f>
        <v>James</v>
      </c>
      <c r="H349" t="str">
        <f>VLOOKUP(F349,Sheet1!$B$1:$D$41,2,FALSE)</f>
        <v>Steven</v>
      </c>
      <c r="I349">
        <f>VLOOKUP(E349,Sheet1!$B$1:$D$41,3,FALSE)</f>
        <v>191239</v>
      </c>
      <c r="J349">
        <f>VLOOKUP(F349,Sheet1!$B$1:$D$41,3,FALSE)</f>
        <v>200257</v>
      </c>
    </row>
    <row r="350" spans="1:10" x14ac:dyDescent="0.25">
      <c r="A350">
        <f>A346+1</f>
        <v>5</v>
      </c>
      <c r="B350" s="1" t="s">
        <v>21</v>
      </c>
      <c r="C350" s="1" t="s">
        <v>14</v>
      </c>
      <c r="D350" s="1" t="s">
        <v>39</v>
      </c>
      <c r="E350" t="s">
        <v>23</v>
      </c>
      <c r="F350" t="s">
        <v>25</v>
      </c>
      <c r="G350" t="str">
        <f>VLOOKUP(E350,Sheet1!$B$1:$D$41,2,FALSE)</f>
        <v>Simon</v>
      </c>
      <c r="H350" t="str">
        <f>VLOOKUP(F350,Sheet1!$B$1:$D$41,2,FALSE)</f>
        <v>Andy</v>
      </c>
      <c r="I350">
        <f>VLOOKUP(E350,Sheet1!$B$1:$D$41,3,FALSE)</f>
        <v>2438184</v>
      </c>
      <c r="J350">
        <f>VLOOKUP(F350,Sheet1!$B$1:$D$41,3,FALSE)</f>
        <v>1106737</v>
      </c>
    </row>
    <row r="351" spans="1:10" x14ac:dyDescent="0.25">
      <c r="A351">
        <f>A347+1</f>
        <v>5</v>
      </c>
      <c r="B351" s="1" t="s">
        <v>21</v>
      </c>
      <c r="C351" s="1" t="s">
        <v>14</v>
      </c>
      <c r="D351" s="1" t="s">
        <v>39</v>
      </c>
      <c r="E351" t="s">
        <v>24</v>
      </c>
      <c r="F351" t="s">
        <v>80</v>
      </c>
      <c r="G351" t="str">
        <f>VLOOKUP(E351,Sheet1!$B$1:$D$41,2,FALSE)</f>
        <v>Gavin</v>
      </c>
      <c r="H351" t="str">
        <f>VLOOKUP(F351,Sheet1!$B$1:$D$41,2,FALSE)</f>
        <v>Steven</v>
      </c>
      <c r="I351">
        <f>VLOOKUP(E351,Sheet1!$B$1:$D$41,3,FALSE)</f>
        <v>3015602</v>
      </c>
      <c r="J351">
        <f>VLOOKUP(F351,Sheet1!$B$1:$D$41,3,FALSE)</f>
        <v>200257</v>
      </c>
    </row>
    <row r="352" spans="1:10" x14ac:dyDescent="0.25">
      <c r="A352">
        <f>A348+1</f>
        <v>5</v>
      </c>
      <c r="B352" s="1" t="s">
        <v>21</v>
      </c>
      <c r="C352" s="1" t="s">
        <v>14</v>
      </c>
      <c r="D352" s="1" t="s">
        <v>39</v>
      </c>
      <c r="E352" t="s">
        <v>26</v>
      </c>
      <c r="F352" t="s">
        <v>22</v>
      </c>
      <c r="G352" t="str">
        <f>VLOOKUP(E352,Sheet1!$B$1:$D$41,2,FALSE)</f>
        <v>Walid</v>
      </c>
      <c r="H352" t="str">
        <f>VLOOKUP(F352,Sheet1!$B$1:$D$41,2,FALSE)</f>
        <v>James</v>
      </c>
      <c r="I352">
        <f>VLOOKUP(E352,Sheet1!$B$1:$D$41,3,FALSE)</f>
        <v>2359578</v>
      </c>
      <c r="J352">
        <f>VLOOKUP(F352,Sheet1!$B$1:$D$41,3,FALSE)</f>
        <v>191239</v>
      </c>
    </row>
    <row r="353" spans="1:10" x14ac:dyDescent="0.25">
      <c r="A353">
        <f>A349+1</f>
        <v>5</v>
      </c>
      <c r="B353" s="1" t="s">
        <v>21</v>
      </c>
      <c r="C353" s="1" t="s">
        <v>14</v>
      </c>
      <c r="D353" s="1" t="s">
        <v>39</v>
      </c>
      <c r="E353" t="s">
        <v>27</v>
      </c>
      <c r="F353" t="s">
        <v>28</v>
      </c>
      <c r="G353" t="str">
        <f>VLOOKUP(E353,Sheet1!$B$1:$D$41,2,FALSE)</f>
        <v>Gordon</v>
      </c>
      <c r="H353" t="str">
        <f>VLOOKUP(F353,Sheet1!$B$1:$D$41,2,FALSE)</f>
        <v>Keith</v>
      </c>
      <c r="I353">
        <f>VLOOKUP(E353,Sheet1!$B$1:$D$41,3,FALSE)</f>
        <v>1177922</v>
      </c>
      <c r="J353">
        <f>VLOOKUP(F353,Sheet1!$B$1:$D$41,3,FALSE)</f>
        <v>3014705</v>
      </c>
    </row>
    <row r="354" spans="1:10" x14ac:dyDescent="0.25">
      <c r="A354">
        <f>A350+1</f>
        <v>6</v>
      </c>
      <c r="B354" s="1" t="s">
        <v>21</v>
      </c>
      <c r="C354" s="1" t="s">
        <v>14</v>
      </c>
      <c r="D354" s="1" t="s">
        <v>39</v>
      </c>
      <c r="E354" t="s">
        <v>25</v>
      </c>
      <c r="F354" t="s">
        <v>27</v>
      </c>
      <c r="G354" t="str">
        <f>VLOOKUP(E354,Sheet1!$B$1:$D$41,2,FALSE)</f>
        <v>Andy</v>
      </c>
      <c r="H354" t="str">
        <f>VLOOKUP(F354,Sheet1!$B$1:$D$41,2,FALSE)</f>
        <v>Gordon</v>
      </c>
      <c r="I354">
        <f>VLOOKUP(E354,Sheet1!$B$1:$D$41,3,FALSE)</f>
        <v>1106737</v>
      </c>
      <c r="J354">
        <f>VLOOKUP(F354,Sheet1!$B$1:$D$41,3,FALSE)</f>
        <v>1177922</v>
      </c>
    </row>
    <row r="355" spans="1:10" x14ac:dyDescent="0.25">
      <c r="A355">
        <f>A351+1</f>
        <v>6</v>
      </c>
      <c r="B355" s="1" t="s">
        <v>21</v>
      </c>
      <c r="C355" s="1" t="s">
        <v>14</v>
      </c>
      <c r="D355" s="1" t="s">
        <v>39</v>
      </c>
      <c r="E355" t="s">
        <v>28</v>
      </c>
      <c r="F355" t="s">
        <v>26</v>
      </c>
      <c r="G355" t="str">
        <f>VLOOKUP(E355,Sheet1!$B$1:$D$41,2,FALSE)</f>
        <v>Keith</v>
      </c>
      <c r="H355" t="str">
        <f>VLOOKUP(F355,Sheet1!$B$1:$D$41,2,FALSE)</f>
        <v>Walid</v>
      </c>
      <c r="I355">
        <f>VLOOKUP(E355,Sheet1!$B$1:$D$41,3,FALSE)</f>
        <v>3014705</v>
      </c>
      <c r="J355">
        <f>VLOOKUP(F355,Sheet1!$B$1:$D$41,3,FALSE)</f>
        <v>2359578</v>
      </c>
    </row>
    <row r="356" spans="1:10" x14ac:dyDescent="0.25">
      <c r="A356">
        <f>A352+1</f>
        <v>6</v>
      </c>
      <c r="B356" s="1" t="s">
        <v>21</v>
      </c>
      <c r="C356" s="1" t="s">
        <v>14</v>
      </c>
      <c r="D356" s="1" t="s">
        <v>39</v>
      </c>
      <c r="E356" t="s">
        <v>22</v>
      </c>
      <c r="F356" t="s">
        <v>24</v>
      </c>
      <c r="G356" t="str">
        <f>VLOOKUP(E356,Sheet1!$B$1:$D$41,2,FALSE)</f>
        <v>James</v>
      </c>
      <c r="H356" t="str">
        <f>VLOOKUP(F356,Sheet1!$B$1:$D$41,2,FALSE)</f>
        <v>Gavin</v>
      </c>
      <c r="I356">
        <f>VLOOKUP(E356,Sheet1!$B$1:$D$41,3,FALSE)</f>
        <v>191239</v>
      </c>
      <c r="J356">
        <f>VLOOKUP(F356,Sheet1!$B$1:$D$41,3,FALSE)</f>
        <v>3015602</v>
      </c>
    </row>
    <row r="357" spans="1:10" x14ac:dyDescent="0.25">
      <c r="A357">
        <f>A353+1</f>
        <v>6</v>
      </c>
      <c r="B357" s="1" t="s">
        <v>21</v>
      </c>
      <c r="C357" s="1" t="s">
        <v>14</v>
      </c>
      <c r="D357" s="1" t="s">
        <v>39</v>
      </c>
      <c r="E357" t="s">
        <v>80</v>
      </c>
      <c r="F357" t="s">
        <v>23</v>
      </c>
      <c r="G357" t="str">
        <f>VLOOKUP(E357,Sheet1!$B$1:$D$41,2,FALSE)</f>
        <v>Steven</v>
      </c>
      <c r="H357" t="str">
        <f>VLOOKUP(F357,Sheet1!$B$1:$D$41,2,FALSE)</f>
        <v>Simon</v>
      </c>
      <c r="I357">
        <f>VLOOKUP(E357,Sheet1!$B$1:$D$41,3,FALSE)</f>
        <v>200257</v>
      </c>
      <c r="J357">
        <f>VLOOKUP(F357,Sheet1!$B$1:$D$41,3,FALSE)</f>
        <v>2438184</v>
      </c>
    </row>
    <row r="358" spans="1:10" x14ac:dyDescent="0.25">
      <c r="A358">
        <f>A354+1</f>
        <v>7</v>
      </c>
      <c r="B358" s="1" t="s">
        <v>21</v>
      </c>
      <c r="C358" s="1" t="s">
        <v>14</v>
      </c>
      <c r="D358" s="1" t="s">
        <v>39</v>
      </c>
      <c r="E358" t="s">
        <v>28</v>
      </c>
      <c r="F358" t="s">
        <v>25</v>
      </c>
      <c r="G358" t="str">
        <f>VLOOKUP(E358,Sheet1!$B$1:$D$41,2,FALSE)</f>
        <v>Keith</v>
      </c>
      <c r="H358" t="str">
        <f>VLOOKUP(F358,Sheet1!$B$1:$D$41,2,FALSE)</f>
        <v>Andy</v>
      </c>
      <c r="I358">
        <f>VLOOKUP(E358,Sheet1!$B$1:$D$41,3,FALSE)</f>
        <v>3014705</v>
      </c>
      <c r="J358">
        <f>VLOOKUP(F358,Sheet1!$B$1:$D$41,3,FALSE)</f>
        <v>1106737</v>
      </c>
    </row>
    <row r="359" spans="1:10" x14ac:dyDescent="0.25">
      <c r="A359">
        <f>A355+1</f>
        <v>7</v>
      </c>
      <c r="B359" s="1" t="s">
        <v>21</v>
      </c>
      <c r="C359" s="1" t="s">
        <v>14</v>
      </c>
      <c r="D359" s="1" t="s">
        <v>39</v>
      </c>
      <c r="E359" t="s">
        <v>22</v>
      </c>
      <c r="F359" t="s">
        <v>27</v>
      </c>
      <c r="G359" t="str">
        <f>VLOOKUP(E359,Sheet1!$B$1:$D$41,2,FALSE)</f>
        <v>James</v>
      </c>
      <c r="H359" t="str">
        <f>VLOOKUP(F359,Sheet1!$B$1:$D$41,2,FALSE)</f>
        <v>Gordon</v>
      </c>
      <c r="I359">
        <f>VLOOKUP(E359,Sheet1!$B$1:$D$41,3,FALSE)</f>
        <v>191239</v>
      </c>
      <c r="J359">
        <f>VLOOKUP(F359,Sheet1!$B$1:$D$41,3,FALSE)</f>
        <v>1177922</v>
      </c>
    </row>
    <row r="360" spans="1:10" x14ac:dyDescent="0.25">
      <c r="A360">
        <f>A356+1</f>
        <v>7</v>
      </c>
      <c r="B360" s="1" t="s">
        <v>21</v>
      </c>
      <c r="C360" s="1" t="s">
        <v>14</v>
      </c>
      <c r="D360" s="1" t="s">
        <v>39</v>
      </c>
      <c r="E360" t="s">
        <v>80</v>
      </c>
      <c r="F360" t="s">
        <v>26</v>
      </c>
      <c r="G360" t="str">
        <f>VLOOKUP(E360,Sheet1!$B$1:$D$41,2,FALSE)</f>
        <v>Steven</v>
      </c>
      <c r="H360" t="str">
        <f>VLOOKUP(F360,Sheet1!$B$1:$D$41,2,FALSE)</f>
        <v>Walid</v>
      </c>
      <c r="I360">
        <f>VLOOKUP(E360,Sheet1!$B$1:$D$41,3,FALSE)</f>
        <v>200257</v>
      </c>
      <c r="J360">
        <f>VLOOKUP(F360,Sheet1!$B$1:$D$41,3,FALSE)</f>
        <v>2359578</v>
      </c>
    </row>
    <row r="361" spans="1:10" x14ac:dyDescent="0.25">
      <c r="A361">
        <f>A357+1</f>
        <v>7</v>
      </c>
      <c r="B361" s="1" t="s">
        <v>21</v>
      </c>
      <c r="C361" s="1" t="s">
        <v>14</v>
      </c>
      <c r="D361" s="1" t="s">
        <v>39</v>
      </c>
      <c r="E361" t="s">
        <v>23</v>
      </c>
      <c r="F361" t="s">
        <v>24</v>
      </c>
      <c r="G361" t="str">
        <f>VLOOKUP(E361,Sheet1!$B$1:$D$41,2,FALSE)</f>
        <v>Simon</v>
      </c>
      <c r="H361" t="str">
        <f>VLOOKUP(F361,Sheet1!$B$1:$D$41,2,FALSE)</f>
        <v>Gavin</v>
      </c>
      <c r="I361">
        <f>VLOOKUP(E361,Sheet1!$B$1:$D$41,3,FALSE)</f>
        <v>2438184</v>
      </c>
      <c r="J361">
        <f>VLOOKUP(F361,Sheet1!$B$1:$D$41,3,FALSE)</f>
        <v>3015602</v>
      </c>
    </row>
    <row r="362" spans="1:10" x14ac:dyDescent="0.25">
      <c r="A362">
        <f>A358+1</f>
        <v>8</v>
      </c>
      <c r="B362" s="1" t="s">
        <v>21</v>
      </c>
      <c r="C362" s="1" t="s">
        <v>14</v>
      </c>
      <c r="D362" s="1" t="s">
        <v>39</v>
      </c>
      <c r="E362" t="s">
        <v>22</v>
      </c>
      <c r="F362" t="s">
        <v>25</v>
      </c>
      <c r="G362" t="str">
        <f>VLOOKUP(E362,Sheet1!$B$1:$D$41,2,FALSE)</f>
        <v>James</v>
      </c>
      <c r="H362" t="str">
        <f>VLOOKUP(F362,Sheet1!$B$1:$D$41,2,FALSE)</f>
        <v>Andy</v>
      </c>
      <c r="I362">
        <f>VLOOKUP(E362,Sheet1!$B$1:$D$41,3,FALSE)</f>
        <v>191239</v>
      </c>
      <c r="J362">
        <f>VLOOKUP(F362,Sheet1!$B$1:$D$41,3,FALSE)</f>
        <v>1106737</v>
      </c>
    </row>
    <row r="363" spans="1:10" x14ac:dyDescent="0.25">
      <c r="A363">
        <f>A359+1</f>
        <v>8</v>
      </c>
      <c r="B363" s="1" t="s">
        <v>21</v>
      </c>
      <c r="C363" s="1" t="s">
        <v>14</v>
      </c>
      <c r="D363" s="1" t="s">
        <v>39</v>
      </c>
      <c r="E363" t="s">
        <v>80</v>
      </c>
      <c r="F363" t="s">
        <v>28</v>
      </c>
      <c r="G363" t="str">
        <f>VLOOKUP(E363,Sheet1!$B$1:$D$41,2,FALSE)</f>
        <v>Steven</v>
      </c>
      <c r="H363" t="str">
        <f>VLOOKUP(F363,Sheet1!$B$1:$D$41,2,FALSE)</f>
        <v>Keith</v>
      </c>
      <c r="I363">
        <f>VLOOKUP(E363,Sheet1!$B$1:$D$41,3,FALSE)</f>
        <v>200257</v>
      </c>
      <c r="J363">
        <f>VLOOKUP(F363,Sheet1!$B$1:$D$41,3,FALSE)</f>
        <v>3014705</v>
      </c>
    </row>
    <row r="364" spans="1:10" x14ac:dyDescent="0.25">
      <c r="A364">
        <f>A360+1</f>
        <v>8</v>
      </c>
      <c r="B364" s="1" t="s">
        <v>21</v>
      </c>
      <c r="C364" s="1" t="s">
        <v>14</v>
      </c>
      <c r="D364" s="1" t="s">
        <v>39</v>
      </c>
      <c r="E364" t="s">
        <v>23</v>
      </c>
      <c r="F364" t="s">
        <v>27</v>
      </c>
      <c r="G364" t="str">
        <f>VLOOKUP(E364,Sheet1!$B$1:$D$41,2,FALSE)</f>
        <v>Simon</v>
      </c>
      <c r="H364" t="str">
        <f>VLOOKUP(F364,Sheet1!$B$1:$D$41,2,FALSE)</f>
        <v>Gordon</v>
      </c>
      <c r="I364">
        <f>VLOOKUP(E364,Sheet1!$B$1:$D$41,3,FALSE)</f>
        <v>2438184</v>
      </c>
      <c r="J364">
        <f>VLOOKUP(F364,Sheet1!$B$1:$D$41,3,FALSE)</f>
        <v>1177922</v>
      </c>
    </row>
    <row r="365" spans="1:10" x14ac:dyDescent="0.25">
      <c r="A365">
        <f>A361+1</f>
        <v>8</v>
      </c>
      <c r="B365" s="1" t="s">
        <v>21</v>
      </c>
      <c r="C365" s="1" t="s">
        <v>14</v>
      </c>
      <c r="D365" s="1" t="s">
        <v>39</v>
      </c>
      <c r="E365" t="s">
        <v>24</v>
      </c>
      <c r="F365" t="s">
        <v>26</v>
      </c>
      <c r="G365" t="str">
        <f>VLOOKUP(E365,Sheet1!$B$1:$D$41,2,FALSE)</f>
        <v>Gavin</v>
      </c>
      <c r="H365" t="str">
        <f>VLOOKUP(F365,Sheet1!$B$1:$D$41,2,FALSE)</f>
        <v>Walid</v>
      </c>
      <c r="I365">
        <f>VLOOKUP(E365,Sheet1!$B$1:$D$41,3,FALSE)</f>
        <v>3015602</v>
      </c>
      <c r="J365">
        <f>VLOOKUP(F365,Sheet1!$B$1:$D$41,3,FALSE)</f>
        <v>2359578</v>
      </c>
    </row>
    <row r="366" spans="1:10" x14ac:dyDescent="0.25">
      <c r="A366">
        <f>A362+1</f>
        <v>9</v>
      </c>
      <c r="B366" s="1" t="s">
        <v>21</v>
      </c>
      <c r="C366" s="1" t="s">
        <v>14</v>
      </c>
      <c r="D366" s="1" t="s">
        <v>39</v>
      </c>
      <c r="E366" t="s">
        <v>25</v>
      </c>
      <c r="F366" t="s">
        <v>24</v>
      </c>
      <c r="G366" t="str">
        <f>VLOOKUP(E366,Sheet1!$B$1:$D$41,2,FALSE)</f>
        <v>Andy</v>
      </c>
      <c r="H366" t="str">
        <f>VLOOKUP(F366,Sheet1!$B$1:$D$41,2,FALSE)</f>
        <v>Gavin</v>
      </c>
      <c r="I366">
        <f>VLOOKUP(E366,Sheet1!$B$1:$D$41,3,FALSE)</f>
        <v>1106737</v>
      </c>
      <c r="J366">
        <f>VLOOKUP(F366,Sheet1!$B$1:$D$41,3,FALSE)</f>
        <v>3015602</v>
      </c>
    </row>
    <row r="367" spans="1:10" x14ac:dyDescent="0.25">
      <c r="A367">
        <f>A363+1</f>
        <v>9</v>
      </c>
      <c r="B367" s="1" t="s">
        <v>21</v>
      </c>
      <c r="C367" s="1" t="s">
        <v>14</v>
      </c>
      <c r="D367" s="1" t="s">
        <v>39</v>
      </c>
      <c r="E367" t="s">
        <v>26</v>
      </c>
      <c r="F367" t="s">
        <v>23</v>
      </c>
      <c r="G367" t="str">
        <f>VLOOKUP(E367,Sheet1!$B$1:$D$41,2,FALSE)</f>
        <v>Walid</v>
      </c>
      <c r="H367" t="str">
        <f>VLOOKUP(F367,Sheet1!$B$1:$D$41,2,FALSE)</f>
        <v>Simon</v>
      </c>
      <c r="I367">
        <f>VLOOKUP(E367,Sheet1!$B$1:$D$41,3,FALSE)</f>
        <v>2359578</v>
      </c>
      <c r="J367">
        <f>VLOOKUP(F367,Sheet1!$B$1:$D$41,3,FALSE)</f>
        <v>2438184</v>
      </c>
    </row>
    <row r="368" spans="1:10" x14ac:dyDescent="0.25">
      <c r="A368">
        <f>A364+1</f>
        <v>9</v>
      </c>
      <c r="B368" s="1" t="s">
        <v>21</v>
      </c>
      <c r="C368" s="1" t="s">
        <v>14</v>
      </c>
      <c r="D368" s="1" t="s">
        <v>39</v>
      </c>
      <c r="E368" t="s">
        <v>27</v>
      </c>
      <c r="F368" t="s">
        <v>80</v>
      </c>
      <c r="G368" t="str">
        <f>VLOOKUP(E368,Sheet1!$B$1:$D$41,2,FALSE)</f>
        <v>Gordon</v>
      </c>
      <c r="H368" t="str">
        <f>VLOOKUP(F368,Sheet1!$B$1:$D$41,2,FALSE)</f>
        <v>Steven</v>
      </c>
      <c r="I368">
        <f>VLOOKUP(E368,Sheet1!$B$1:$D$41,3,FALSE)</f>
        <v>1177922</v>
      </c>
      <c r="J368">
        <f>VLOOKUP(F368,Sheet1!$B$1:$D$41,3,FALSE)</f>
        <v>200257</v>
      </c>
    </row>
    <row r="369" spans="1:10" x14ac:dyDescent="0.25">
      <c r="A369">
        <f>A365+1</f>
        <v>9</v>
      </c>
      <c r="B369" s="1" t="s">
        <v>21</v>
      </c>
      <c r="C369" s="1" t="s">
        <v>14</v>
      </c>
      <c r="D369" s="1" t="s">
        <v>39</v>
      </c>
      <c r="E369" t="s">
        <v>28</v>
      </c>
      <c r="F369" t="s">
        <v>22</v>
      </c>
      <c r="G369" t="str">
        <f>VLOOKUP(E369,Sheet1!$B$1:$D$41,2,FALSE)</f>
        <v>Keith</v>
      </c>
      <c r="H369" t="str">
        <f>VLOOKUP(F369,Sheet1!$B$1:$D$41,2,FALSE)</f>
        <v>James</v>
      </c>
      <c r="I369">
        <f>VLOOKUP(E369,Sheet1!$B$1:$D$41,3,FALSE)</f>
        <v>3014705</v>
      </c>
      <c r="J369">
        <f>VLOOKUP(F369,Sheet1!$B$1:$D$41,3,FALSE)</f>
        <v>191239</v>
      </c>
    </row>
    <row r="370" spans="1:10" x14ac:dyDescent="0.25">
      <c r="A370">
        <f>A366+1</f>
        <v>10</v>
      </c>
      <c r="B370" s="1" t="s">
        <v>21</v>
      </c>
      <c r="C370" s="1" t="s">
        <v>14</v>
      </c>
      <c r="D370" s="1" t="s">
        <v>39</v>
      </c>
      <c r="E370" t="s">
        <v>80</v>
      </c>
      <c r="F370" t="s">
        <v>25</v>
      </c>
      <c r="G370" t="str">
        <f>VLOOKUP(E370,Sheet1!$B$1:$D$41,2,FALSE)</f>
        <v>Steven</v>
      </c>
      <c r="H370" t="str">
        <f>VLOOKUP(F370,Sheet1!$B$1:$D$41,2,FALSE)</f>
        <v>Andy</v>
      </c>
      <c r="I370">
        <f>VLOOKUP(E370,Sheet1!$B$1:$D$41,3,FALSE)</f>
        <v>200257</v>
      </c>
      <c r="J370">
        <f>VLOOKUP(F370,Sheet1!$B$1:$D$41,3,FALSE)</f>
        <v>1106737</v>
      </c>
    </row>
    <row r="371" spans="1:10" x14ac:dyDescent="0.25">
      <c r="A371">
        <f>A367+1</f>
        <v>10</v>
      </c>
      <c r="B371" s="1" t="s">
        <v>21</v>
      </c>
      <c r="C371" s="1" t="s">
        <v>14</v>
      </c>
      <c r="D371" s="1" t="s">
        <v>39</v>
      </c>
      <c r="E371" t="s">
        <v>23</v>
      </c>
      <c r="F371" t="s">
        <v>22</v>
      </c>
      <c r="G371" t="str">
        <f>VLOOKUP(E371,Sheet1!$B$1:$D$41,2,FALSE)</f>
        <v>Simon</v>
      </c>
      <c r="H371" t="str">
        <f>VLOOKUP(F371,Sheet1!$B$1:$D$41,2,FALSE)</f>
        <v>James</v>
      </c>
      <c r="I371">
        <f>VLOOKUP(E371,Sheet1!$B$1:$D$41,3,FALSE)</f>
        <v>2438184</v>
      </c>
      <c r="J371">
        <f>VLOOKUP(F371,Sheet1!$B$1:$D$41,3,FALSE)</f>
        <v>191239</v>
      </c>
    </row>
    <row r="372" spans="1:10" x14ac:dyDescent="0.25">
      <c r="A372">
        <f>A368+1</f>
        <v>10</v>
      </c>
      <c r="B372" s="1" t="s">
        <v>21</v>
      </c>
      <c r="C372" s="1" t="s">
        <v>14</v>
      </c>
      <c r="D372" s="1" t="s">
        <v>39</v>
      </c>
      <c r="E372" t="s">
        <v>24</v>
      </c>
      <c r="F372" t="s">
        <v>28</v>
      </c>
      <c r="G372" t="str">
        <f>VLOOKUP(E372,Sheet1!$B$1:$D$41,2,FALSE)</f>
        <v>Gavin</v>
      </c>
      <c r="H372" t="str">
        <f>VLOOKUP(F372,Sheet1!$B$1:$D$41,2,FALSE)</f>
        <v>Keith</v>
      </c>
      <c r="I372">
        <f>VLOOKUP(E372,Sheet1!$B$1:$D$41,3,FALSE)</f>
        <v>3015602</v>
      </c>
      <c r="J372">
        <f>VLOOKUP(F372,Sheet1!$B$1:$D$41,3,FALSE)</f>
        <v>3014705</v>
      </c>
    </row>
    <row r="373" spans="1:10" x14ac:dyDescent="0.25">
      <c r="A373">
        <f>A369+1</f>
        <v>10</v>
      </c>
      <c r="B373" s="1" t="s">
        <v>21</v>
      </c>
      <c r="C373" s="1" t="s">
        <v>14</v>
      </c>
      <c r="D373" s="1" t="s">
        <v>39</v>
      </c>
      <c r="E373" t="s">
        <v>26</v>
      </c>
      <c r="F373" t="s">
        <v>27</v>
      </c>
      <c r="G373" t="str">
        <f>VLOOKUP(E373,Sheet1!$B$1:$D$41,2,FALSE)</f>
        <v>Walid</v>
      </c>
      <c r="H373" t="str">
        <f>VLOOKUP(F373,Sheet1!$B$1:$D$41,2,FALSE)</f>
        <v>Gordon</v>
      </c>
      <c r="I373">
        <f>VLOOKUP(E373,Sheet1!$B$1:$D$41,3,FALSE)</f>
        <v>2359578</v>
      </c>
      <c r="J373">
        <f>VLOOKUP(F373,Sheet1!$B$1:$D$41,3,FALSE)</f>
        <v>1177922</v>
      </c>
    </row>
    <row r="374" spans="1:10" x14ac:dyDescent="0.25">
      <c r="A374">
        <f>A370+1</f>
        <v>11</v>
      </c>
      <c r="B374" s="1" t="s">
        <v>21</v>
      </c>
      <c r="C374" s="1" t="s">
        <v>14</v>
      </c>
      <c r="D374" s="1" t="s">
        <v>39</v>
      </c>
      <c r="E374" t="s">
        <v>25</v>
      </c>
      <c r="F374" t="s">
        <v>26</v>
      </c>
      <c r="G374" t="str">
        <f>VLOOKUP(E374,Sheet1!$B$1:$D$41,2,FALSE)</f>
        <v>Andy</v>
      </c>
      <c r="H374" t="str">
        <f>VLOOKUP(F374,Sheet1!$B$1:$D$41,2,FALSE)</f>
        <v>Walid</v>
      </c>
      <c r="I374">
        <f>VLOOKUP(E374,Sheet1!$B$1:$D$41,3,FALSE)</f>
        <v>1106737</v>
      </c>
      <c r="J374">
        <f>VLOOKUP(F374,Sheet1!$B$1:$D$41,3,FALSE)</f>
        <v>2359578</v>
      </c>
    </row>
    <row r="375" spans="1:10" x14ac:dyDescent="0.25">
      <c r="A375">
        <f>A371+1</f>
        <v>11</v>
      </c>
      <c r="B375" s="1" t="s">
        <v>21</v>
      </c>
      <c r="C375" s="1" t="s">
        <v>14</v>
      </c>
      <c r="D375" s="1" t="s">
        <v>39</v>
      </c>
      <c r="E375" t="s">
        <v>27</v>
      </c>
      <c r="F375" t="s">
        <v>24</v>
      </c>
      <c r="G375" t="str">
        <f>VLOOKUP(E375,Sheet1!$B$1:$D$41,2,FALSE)</f>
        <v>Gordon</v>
      </c>
      <c r="H375" t="str">
        <f>VLOOKUP(F375,Sheet1!$B$1:$D$41,2,FALSE)</f>
        <v>Gavin</v>
      </c>
      <c r="I375">
        <f>VLOOKUP(E375,Sheet1!$B$1:$D$41,3,FALSE)</f>
        <v>1177922</v>
      </c>
      <c r="J375">
        <f>VLOOKUP(F375,Sheet1!$B$1:$D$41,3,FALSE)</f>
        <v>3015602</v>
      </c>
    </row>
    <row r="376" spans="1:10" x14ac:dyDescent="0.25">
      <c r="A376">
        <f>A372+1</f>
        <v>11</v>
      </c>
      <c r="B376" s="1" t="s">
        <v>21</v>
      </c>
      <c r="C376" s="1" t="s">
        <v>14</v>
      </c>
      <c r="D376" s="1" t="s">
        <v>39</v>
      </c>
      <c r="E376" t="s">
        <v>28</v>
      </c>
      <c r="F376" t="s">
        <v>23</v>
      </c>
      <c r="G376" t="str">
        <f>VLOOKUP(E376,Sheet1!$B$1:$D$41,2,FALSE)</f>
        <v>Keith</v>
      </c>
      <c r="H376" t="str">
        <f>VLOOKUP(F376,Sheet1!$B$1:$D$41,2,FALSE)</f>
        <v>Simon</v>
      </c>
      <c r="I376">
        <f>VLOOKUP(E376,Sheet1!$B$1:$D$41,3,FALSE)</f>
        <v>3014705</v>
      </c>
      <c r="J376">
        <f>VLOOKUP(F376,Sheet1!$B$1:$D$41,3,FALSE)</f>
        <v>2438184</v>
      </c>
    </row>
    <row r="377" spans="1:10" x14ac:dyDescent="0.25">
      <c r="A377">
        <f>A373+1</f>
        <v>11</v>
      </c>
      <c r="B377" s="1" t="s">
        <v>21</v>
      </c>
      <c r="C377" s="1" t="s">
        <v>14</v>
      </c>
      <c r="D377" s="1" t="s">
        <v>39</v>
      </c>
      <c r="E377" t="s">
        <v>22</v>
      </c>
      <c r="F377" t="s">
        <v>80</v>
      </c>
      <c r="G377" t="str">
        <f>VLOOKUP(E377,Sheet1!$B$1:$D$41,2,FALSE)</f>
        <v>James</v>
      </c>
      <c r="H377" t="str">
        <f>VLOOKUP(F377,Sheet1!$B$1:$D$41,2,FALSE)</f>
        <v>Steven</v>
      </c>
      <c r="I377">
        <f>VLOOKUP(E377,Sheet1!$B$1:$D$41,3,FALSE)</f>
        <v>191239</v>
      </c>
      <c r="J377">
        <f>VLOOKUP(F377,Sheet1!$B$1:$D$41,3,FALSE)</f>
        <v>200257</v>
      </c>
    </row>
    <row r="378" spans="1:10" x14ac:dyDescent="0.25">
      <c r="A378">
        <f>A374+1</f>
        <v>12</v>
      </c>
      <c r="B378" s="1" t="s">
        <v>21</v>
      </c>
      <c r="C378" s="1" t="s">
        <v>14</v>
      </c>
      <c r="D378" s="1" t="s">
        <v>39</v>
      </c>
      <c r="E378" t="s">
        <v>23</v>
      </c>
      <c r="F378" t="s">
        <v>25</v>
      </c>
      <c r="G378" t="str">
        <f>VLOOKUP(E378,Sheet1!$B$1:$D$41,2,FALSE)</f>
        <v>Simon</v>
      </c>
      <c r="H378" t="str">
        <f>VLOOKUP(F378,Sheet1!$B$1:$D$41,2,FALSE)</f>
        <v>Andy</v>
      </c>
      <c r="I378">
        <f>VLOOKUP(E378,Sheet1!$B$1:$D$41,3,FALSE)</f>
        <v>2438184</v>
      </c>
      <c r="J378">
        <f>VLOOKUP(F378,Sheet1!$B$1:$D$41,3,FALSE)</f>
        <v>1106737</v>
      </c>
    </row>
    <row r="379" spans="1:10" x14ac:dyDescent="0.25">
      <c r="A379">
        <f>A375+1</f>
        <v>12</v>
      </c>
      <c r="B379" s="1" t="s">
        <v>21</v>
      </c>
      <c r="C379" s="1" t="s">
        <v>14</v>
      </c>
      <c r="D379" s="1" t="s">
        <v>39</v>
      </c>
      <c r="E379" t="s">
        <v>24</v>
      </c>
      <c r="F379" t="s">
        <v>80</v>
      </c>
      <c r="G379" t="str">
        <f>VLOOKUP(E379,Sheet1!$B$1:$D$41,2,FALSE)</f>
        <v>Gavin</v>
      </c>
      <c r="H379" t="str">
        <f>VLOOKUP(F379,Sheet1!$B$1:$D$41,2,FALSE)</f>
        <v>Steven</v>
      </c>
      <c r="I379">
        <f>VLOOKUP(E379,Sheet1!$B$1:$D$41,3,FALSE)</f>
        <v>3015602</v>
      </c>
      <c r="J379">
        <f>VLOOKUP(F379,Sheet1!$B$1:$D$41,3,FALSE)</f>
        <v>200257</v>
      </c>
    </row>
    <row r="380" spans="1:10" x14ac:dyDescent="0.25">
      <c r="A380">
        <f>A376+1</f>
        <v>12</v>
      </c>
      <c r="B380" s="1" t="s">
        <v>21</v>
      </c>
      <c r="C380" s="1" t="s">
        <v>14</v>
      </c>
      <c r="D380" s="1" t="s">
        <v>39</v>
      </c>
      <c r="E380" t="s">
        <v>26</v>
      </c>
      <c r="F380" t="s">
        <v>22</v>
      </c>
      <c r="G380" t="str">
        <f>VLOOKUP(E380,Sheet1!$B$1:$D$41,2,FALSE)</f>
        <v>Walid</v>
      </c>
      <c r="H380" t="str">
        <f>VLOOKUP(F380,Sheet1!$B$1:$D$41,2,FALSE)</f>
        <v>James</v>
      </c>
      <c r="I380">
        <f>VLOOKUP(E380,Sheet1!$B$1:$D$41,3,FALSE)</f>
        <v>2359578</v>
      </c>
      <c r="J380">
        <f>VLOOKUP(F380,Sheet1!$B$1:$D$41,3,FALSE)</f>
        <v>191239</v>
      </c>
    </row>
    <row r="381" spans="1:10" x14ac:dyDescent="0.25">
      <c r="A381">
        <f>A377+1</f>
        <v>12</v>
      </c>
      <c r="B381" s="1" t="s">
        <v>21</v>
      </c>
      <c r="C381" s="1" t="s">
        <v>14</v>
      </c>
      <c r="D381" s="1" t="s">
        <v>39</v>
      </c>
      <c r="E381" t="s">
        <v>27</v>
      </c>
      <c r="F381" t="s">
        <v>28</v>
      </c>
      <c r="G381" t="str">
        <f>VLOOKUP(E381,Sheet1!$B$1:$D$41,2,FALSE)</f>
        <v>Gordon</v>
      </c>
      <c r="H381" t="str">
        <f>VLOOKUP(F381,Sheet1!$B$1:$D$41,2,FALSE)</f>
        <v>Keith</v>
      </c>
      <c r="I381">
        <f>VLOOKUP(E381,Sheet1!$B$1:$D$41,3,FALSE)</f>
        <v>1177922</v>
      </c>
      <c r="J381">
        <f>VLOOKUP(F381,Sheet1!$B$1:$D$41,3,FALSE)</f>
        <v>3014705</v>
      </c>
    </row>
    <row r="382" spans="1:10" x14ac:dyDescent="0.25">
      <c r="A382">
        <f>A378+1</f>
        <v>13</v>
      </c>
      <c r="B382" s="1" t="s">
        <v>21</v>
      </c>
      <c r="C382" s="1" t="s">
        <v>14</v>
      </c>
      <c r="D382" s="1" t="s">
        <v>39</v>
      </c>
      <c r="E382" t="s">
        <v>25</v>
      </c>
      <c r="F382" t="s">
        <v>27</v>
      </c>
      <c r="G382" t="str">
        <f>VLOOKUP(E382,Sheet1!$B$1:$D$41,2,FALSE)</f>
        <v>Andy</v>
      </c>
      <c r="H382" t="str">
        <f>VLOOKUP(F382,Sheet1!$B$1:$D$41,2,FALSE)</f>
        <v>Gordon</v>
      </c>
      <c r="I382">
        <f>VLOOKUP(E382,Sheet1!$B$1:$D$41,3,FALSE)</f>
        <v>1106737</v>
      </c>
      <c r="J382">
        <f>VLOOKUP(F382,Sheet1!$B$1:$D$41,3,FALSE)</f>
        <v>1177922</v>
      </c>
    </row>
    <row r="383" spans="1:10" x14ac:dyDescent="0.25">
      <c r="A383">
        <f>A379+1</f>
        <v>13</v>
      </c>
      <c r="B383" s="1" t="s">
        <v>21</v>
      </c>
      <c r="C383" s="1" t="s">
        <v>14</v>
      </c>
      <c r="D383" s="1" t="s">
        <v>39</v>
      </c>
      <c r="E383" t="s">
        <v>28</v>
      </c>
      <c r="F383" t="s">
        <v>26</v>
      </c>
      <c r="G383" t="str">
        <f>VLOOKUP(E383,Sheet1!$B$1:$D$41,2,FALSE)</f>
        <v>Keith</v>
      </c>
      <c r="H383" t="str">
        <f>VLOOKUP(F383,Sheet1!$B$1:$D$41,2,FALSE)</f>
        <v>Walid</v>
      </c>
      <c r="I383">
        <f>VLOOKUP(E383,Sheet1!$B$1:$D$41,3,FALSE)</f>
        <v>3014705</v>
      </c>
      <c r="J383">
        <f>VLOOKUP(F383,Sheet1!$B$1:$D$41,3,FALSE)</f>
        <v>2359578</v>
      </c>
    </row>
    <row r="384" spans="1:10" x14ac:dyDescent="0.25">
      <c r="A384">
        <f>A380+1</f>
        <v>13</v>
      </c>
      <c r="B384" s="1" t="s">
        <v>21</v>
      </c>
      <c r="C384" s="1" t="s">
        <v>14</v>
      </c>
      <c r="D384" s="1" t="s">
        <v>39</v>
      </c>
      <c r="E384" t="s">
        <v>22</v>
      </c>
      <c r="F384" t="s">
        <v>24</v>
      </c>
      <c r="G384" t="str">
        <f>VLOOKUP(E384,Sheet1!$B$1:$D$41,2,FALSE)</f>
        <v>James</v>
      </c>
      <c r="H384" t="str">
        <f>VLOOKUP(F384,Sheet1!$B$1:$D$41,2,FALSE)</f>
        <v>Gavin</v>
      </c>
      <c r="I384">
        <f>VLOOKUP(E384,Sheet1!$B$1:$D$41,3,FALSE)</f>
        <v>191239</v>
      </c>
      <c r="J384">
        <f>VLOOKUP(F384,Sheet1!$B$1:$D$41,3,FALSE)</f>
        <v>3015602</v>
      </c>
    </row>
    <row r="385" spans="1:10" x14ac:dyDescent="0.25">
      <c r="A385">
        <f>A381+1</f>
        <v>13</v>
      </c>
      <c r="B385" s="1" t="s">
        <v>21</v>
      </c>
      <c r="C385" s="1" t="s">
        <v>14</v>
      </c>
      <c r="D385" s="1" t="s">
        <v>39</v>
      </c>
      <c r="E385" t="s">
        <v>80</v>
      </c>
      <c r="F385" t="s">
        <v>23</v>
      </c>
      <c r="G385" t="str">
        <f>VLOOKUP(E385,Sheet1!$B$1:$D$41,2,FALSE)</f>
        <v>Steven</v>
      </c>
      <c r="H385" t="str">
        <f>VLOOKUP(F385,Sheet1!$B$1:$D$41,2,FALSE)</f>
        <v>Simon</v>
      </c>
      <c r="I385">
        <f>VLOOKUP(E385,Sheet1!$B$1:$D$41,3,FALSE)</f>
        <v>200257</v>
      </c>
      <c r="J385">
        <f>VLOOKUP(F385,Sheet1!$B$1:$D$41,3,FALSE)</f>
        <v>2438184</v>
      </c>
    </row>
    <row r="386" spans="1:10" x14ac:dyDescent="0.25">
      <c r="A386">
        <f>A382+1</f>
        <v>14</v>
      </c>
      <c r="B386" s="1" t="s">
        <v>21</v>
      </c>
      <c r="C386" s="1" t="s">
        <v>14</v>
      </c>
      <c r="D386" s="1" t="s">
        <v>39</v>
      </c>
      <c r="E386" t="s">
        <v>28</v>
      </c>
      <c r="F386" t="s">
        <v>25</v>
      </c>
      <c r="G386" t="str">
        <f>VLOOKUP(E386,Sheet1!$B$1:$D$41,2,FALSE)</f>
        <v>Keith</v>
      </c>
      <c r="H386" t="str">
        <f>VLOOKUP(F386,Sheet1!$B$1:$D$41,2,FALSE)</f>
        <v>Andy</v>
      </c>
      <c r="I386">
        <f>VLOOKUP(E386,Sheet1!$B$1:$D$41,3,FALSE)</f>
        <v>3014705</v>
      </c>
      <c r="J386">
        <f>VLOOKUP(F386,Sheet1!$B$1:$D$41,3,FALSE)</f>
        <v>1106737</v>
      </c>
    </row>
    <row r="387" spans="1:10" x14ac:dyDescent="0.25">
      <c r="A387">
        <f>A383+1</f>
        <v>14</v>
      </c>
      <c r="B387" s="1" t="s">
        <v>21</v>
      </c>
      <c r="C387" s="1" t="s">
        <v>14</v>
      </c>
      <c r="D387" s="1" t="s">
        <v>39</v>
      </c>
      <c r="E387" t="s">
        <v>22</v>
      </c>
      <c r="F387" t="s">
        <v>27</v>
      </c>
      <c r="G387" t="str">
        <f>VLOOKUP(E387,Sheet1!$B$1:$D$41,2,FALSE)</f>
        <v>James</v>
      </c>
      <c r="H387" t="str">
        <f>VLOOKUP(F387,Sheet1!$B$1:$D$41,2,FALSE)</f>
        <v>Gordon</v>
      </c>
      <c r="I387">
        <f>VLOOKUP(E387,Sheet1!$B$1:$D$41,3,FALSE)</f>
        <v>191239</v>
      </c>
      <c r="J387">
        <f>VLOOKUP(F387,Sheet1!$B$1:$D$41,3,FALSE)</f>
        <v>1177922</v>
      </c>
    </row>
    <row r="388" spans="1:10" x14ac:dyDescent="0.25">
      <c r="A388">
        <f>A384+1</f>
        <v>14</v>
      </c>
      <c r="B388" s="1" t="s">
        <v>21</v>
      </c>
      <c r="C388" s="1" t="s">
        <v>14</v>
      </c>
      <c r="D388" s="1" t="s">
        <v>39</v>
      </c>
      <c r="E388" t="s">
        <v>80</v>
      </c>
      <c r="F388" t="s">
        <v>26</v>
      </c>
      <c r="G388" t="str">
        <f>VLOOKUP(E388,Sheet1!$B$1:$D$41,2,FALSE)</f>
        <v>Steven</v>
      </c>
      <c r="H388" t="str">
        <f>VLOOKUP(F388,Sheet1!$B$1:$D$41,2,FALSE)</f>
        <v>Walid</v>
      </c>
      <c r="I388">
        <f>VLOOKUP(E388,Sheet1!$B$1:$D$41,3,FALSE)</f>
        <v>200257</v>
      </c>
      <c r="J388">
        <f>VLOOKUP(F388,Sheet1!$B$1:$D$41,3,FALSE)</f>
        <v>2359578</v>
      </c>
    </row>
    <row r="389" spans="1:10" x14ac:dyDescent="0.25">
      <c r="A389">
        <f>A385+1</f>
        <v>14</v>
      </c>
      <c r="B389" s="1" t="s">
        <v>21</v>
      </c>
      <c r="C389" s="1" t="s">
        <v>14</v>
      </c>
      <c r="D389" s="1" t="s">
        <v>39</v>
      </c>
      <c r="E389" t="s">
        <v>23</v>
      </c>
      <c r="F389" t="s">
        <v>24</v>
      </c>
      <c r="G389" t="str">
        <f>VLOOKUP(E389,Sheet1!$B$1:$D$41,2,FALSE)</f>
        <v>Simon</v>
      </c>
      <c r="H389" t="str">
        <f>VLOOKUP(F389,Sheet1!$B$1:$D$41,2,FALSE)</f>
        <v>Gavin</v>
      </c>
      <c r="I389">
        <f>VLOOKUP(E389,Sheet1!$B$1:$D$41,3,FALSE)</f>
        <v>2438184</v>
      </c>
      <c r="J389">
        <f>VLOOKUP(F389,Sheet1!$B$1:$D$41,3,FALSE)</f>
        <v>3015602</v>
      </c>
    </row>
    <row r="390" spans="1:10" x14ac:dyDescent="0.25">
      <c r="A390">
        <f>A386+1</f>
        <v>15</v>
      </c>
      <c r="B390" s="1" t="s">
        <v>21</v>
      </c>
      <c r="C390" s="1" t="s">
        <v>14</v>
      </c>
      <c r="D390" s="1" t="s">
        <v>39</v>
      </c>
      <c r="E390" t="s">
        <v>22</v>
      </c>
      <c r="F390" t="s">
        <v>25</v>
      </c>
      <c r="G390" t="str">
        <f>VLOOKUP(E390,Sheet1!$B$1:$D$41,2,FALSE)</f>
        <v>James</v>
      </c>
      <c r="H390" t="str">
        <f>VLOOKUP(F390,Sheet1!$B$1:$D$41,2,FALSE)</f>
        <v>Andy</v>
      </c>
      <c r="I390">
        <f>VLOOKUP(E390,Sheet1!$B$1:$D$41,3,FALSE)</f>
        <v>191239</v>
      </c>
      <c r="J390">
        <f>VLOOKUP(F390,Sheet1!$B$1:$D$41,3,FALSE)</f>
        <v>1106737</v>
      </c>
    </row>
    <row r="391" spans="1:10" x14ac:dyDescent="0.25">
      <c r="A391">
        <f>A387+1</f>
        <v>15</v>
      </c>
      <c r="B391" s="1" t="s">
        <v>21</v>
      </c>
      <c r="C391" s="1" t="s">
        <v>14</v>
      </c>
      <c r="D391" s="1" t="s">
        <v>39</v>
      </c>
      <c r="E391" t="s">
        <v>80</v>
      </c>
      <c r="F391" t="s">
        <v>28</v>
      </c>
      <c r="G391" t="str">
        <f>VLOOKUP(E391,Sheet1!$B$1:$D$41,2,FALSE)</f>
        <v>Steven</v>
      </c>
      <c r="H391" t="str">
        <f>VLOOKUP(F391,Sheet1!$B$1:$D$41,2,FALSE)</f>
        <v>Keith</v>
      </c>
      <c r="I391">
        <f>VLOOKUP(E391,Sheet1!$B$1:$D$41,3,FALSE)</f>
        <v>200257</v>
      </c>
      <c r="J391">
        <f>VLOOKUP(F391,Sheet1!$B$1:$D$41,3,FALSE)</f>
        <v>3014705</v>
      </c>
    </row>
    <row r="392" spans="1:10" x14ac:dyDescent="0.25">
      <c r="A392">
        <f>A388+1</f>
        <v>15</v>
      </c>
      <c r="B392" s="1" t="s">
        <v>21</v>
      </c>
      <c r="C392" s="1" t="s">
        <v>14</v>
      </c>
      <c r="D392" s="1" t="s">
        <v>39</v>
      </c>
      <c r="E392" t="s">
        <v>23</v>
      </c>
      <c r="F392" t="s">
        <v>27</v>
      </c>
      <c r="G392" t="str">
        <f>VLOOKUP(E392,Sheet1!$B$1:$D$41,2,FALSE)</f>
        <v>Simon</v>
      </c>
      <c r="H392" t="str">
        <f>VLOOKUP(F392,Sheet1!$B$1:$D$41,2,FALSE)</f>
        <v>Gordon</v>
      </c>
      <c r="I392">
        <f>VLOOKUP(E392,Sheet1!$B$1:$D$41,3,FALSE)</f>
        <v>2438184</v>
      </c>
      <c r="J392">
        <f>VLOOKUP(F392,Sheet1!$B$1:$D$41,3,FALSE)</f>
        <v>1177922</v>
      </c>
    </row>
    <row r="393" spans="1:10" x14ac:dyDescent="0.25">
      <c r="A393">
        <f>A389+1</f>
        <v>15</v>
      </c>
      <c r="B393" s="1" t="s">
        <v>21</v>
      </c>
      <c r="C393" s="1" t="s">
        <v>14</v>
      </c>
      <c r="D393" s="1" t="s">
        <v>39</v>
      </c>
      <c r="E393" t="s">
        <v>24</v>
      </c>
      <c r="F393" t="s">
        <v>26</v>
      </c>
      <c r="G393" t="str">
        <f>VLOOKUP(E393,Sheet1!$B$1:$D$41,2,FALSE)</f>
        <v>Gavin</v>
      </c>
      <c r="H393" t="str">
        <f>VLOOKUP(F393,Sheet1!$B$1:$D$41,2,FALSE)</f>
        <v>Walid</v>
      </c>
      <c r="I393">
        <f>VLOOKUP(E393,Sheet1!$B$1:$D$41,3,FALSE)</f>
        <v>3015602</v>
      </c>
      <c r="J393">
        <f>VLOOKUP(F393,Sheet1!$B$1:$D$41,3,FALSE)</f>
        <v>2359578</v>
      </c>
    </row>
    <row r="394" spans="1:10" x14ac:dyDescent="0.25">
      <c r="A394">
        <f>A390+1</f>
        <v>16</v>
      </c>
      <c r="B394" s="1" t="s">
        <v>21</v>
      </c>
      <c r="C394" s="1" t="s">
        <v>14</v>
      </c>
      <c r="D394" s="1" t="s">
        <v>39</v>
      </c>
      <c r="E394" t="s">
        <v>25</v>
      </c>
      <c r="F394" t="s">
        <v>24</v>
      </c>
      <c r="G394" t="str">
        <f>VLOOKUP(E394,Sheet1!$B$1:$D$41,2,FALSE)</f>
        <v>Andy</v>
      </c>
      <c r="H394" t="str">
        <f>VLOOKUP(F394,Sheet1!$B$1:$D$41,2,FALSE)</f>
        <v>Gavin</v>
      </c>
      <c r="I394">
        <f>VLOOKUP(E394,Sheet1!$B$1:$D$41,3,FALSE)</f>
        <v>1106737</v>
      </c>
      <c r="J394">
        <f>VLOOKUP(F394,Sheet1!$B$1:$D$41,3,FALSE)</f>
        <v>3015602</v>
      </c>
    </row>
    <row r="395" spans="1:10" x14ac:dyDescent="0.25">
      <c r="A395">
        <f>A391+1</f>
        <v>16</v>
      </c>
      <c r="B395" s="1" t="s">
        <v>21</v>
      </c>
      <c r="C395" s="1" t="s">
        <v>14</v>
      </c>
      <c r="D395" s="1" t="s">
        <v>39</v>
      </c>
      <c r="E395" t="s">
        <v>26</v>
      </c>
      <c r="F395" t="s">
        <v>23</v>
      </c>
      <c r="G395" t="str">
        <f>VLOOKUP(E395,Sheet1!$B$1:$D$41,2,FALSE)</f>
        <v>Walid</v>
      </c>
      <c r="H395" t="str">
        <f>VLOOKUP(F395,Sheet1!$B$1:$D$41,2,FALSE)</f>
        <v>Simon</v>
      </c>
      <c r="I395">
        <f>VLOOKUP(E395,Sheet1!$B$1:$D$41,3,FALSE)</f>
        <v>2359578</v>
      </c>
      <c r="J395">
        <f>VLOOKUP(F395,Sheet1!$B$1:$D$41,3,FALSE)</f>
        <v>2438184</v>
      </c>
    </row>
    <row r="396" spans="1:10" x14ac:dyDescent="0.25">
      <c r="A396">
        <f>A392+1</f>
        <v>16</v>
      </c>
      <c r="B396" s="1" t="s">
        <v>21</v>
      </c>
      <c r="C396" s="1" t="s">
        <v>14</v>
      </c>
      <c r="D396" s="1" t="s">
        <v>39</v>
      </c>
      <c r="E396" t="s">
        <v>27</v>
      </c>
      <c r="F396" t="s">
        <v>80</v>
      </c>
      <c r="G396" t="str">
        <f>VLOOKUP(E396,Sheet1!$B$1:$D$41,2,FALSE)</f>
        <v>Gordon</v>
      </c>
      <c r="H396" t="str">
        <f>VLOOKUP(F396,Sheet1!$B$1:$D$41,2,FALSE)</f>
        <v>Steven</v>
      </c>
      <c r="I396">
        <f>VLOOKUP(E396,Sheet1!$B$1:$D$41,3,FALSE)</f>
        <v>1177922</v>
      </c>
      <c r="J396">
        <f>VLOOKUP(F396,Sheet1!$B$1:$D$41,3,FALSE)</f>
        <v>200257</v>
      </c>
    </row>
    <row r="397" spans="1:10" x14ac:dyDescent="0.25">
      <c r="A397">
        <f>A393+1</f>
        <v>16</v>
      </c>
      <c r="B397" s="1" t="s">
        <v>21</v>
      </c>
      <c r="C397" s="1" t="s">
        <v>14</v>
      </c>
      <c r="D397" s="1" t="s">
        <v>39</v>
      </c>
      <c r="E397" t="s">
        <v>28</v>
      </c>
      <c r="F397" t="s">
        <v>22</v>
      </c>
      <c r="G397" t="str">
        <f>VLOOKUP(E397,Sheet1!$B$1:$D$41,2,FALSE)</f>
        <v>Keith</v>
      </c>
      <c r="H397" t="str">
        <f>VLOOKUP(F397,Sheet1!$B$1:$D$41,2,FALSE)</f>
        <v>James</v>
      </c>
      <c r="I397">
        <f>VLOOKUP(E397,Sheet1!$B$1:$D$41,3,FALSE)</f>
        <v>3014705</v>
      </c>
      <c r="J397">
        <f>VLOOKUP(F397,Sheet1!$B$1:$D$41,3,FALSE)</f>
        <v>191239</v>
      </c>
    </row>
    <row r="398" spans="1:10" x14ac:dyDescent="0.25">
      <c r="A398">
        <f>A394+1</f>
        <v>17</v>
      </c>
      <c r="B398" s="1" t="s">
        <v>21</v>
      </c>
      <c r="C398" s="1" t="s">
        <v>14</v>
      </c>
      <c r="D398" s="1" t="s">
        <v>39</v>
      </c>
      <c r="E398" t="s">
        <v>80</v>
      </c>
      <c r="F398" t="s">
        <v>25</v>
      </c>
      <c r="G398" t="str">
        <f>VLOOKUP(E398,Sheet1!$B$1:$D$41,2,FALSE)</f>
        <v>Steven</v>
      </c>
      <c r="H398" t="str">
        <f>VLOOKUP(F398,Sheet1!$B$1:$D$41,2,FALSE)</f>
        <v>Andy</v>
      </c>
      <c r="I398">
        <f>VLOOKUP(E398,Sheet1!$B$1:$D$41,3,FALSE)</f>
        <v>200257</v>
      </c>
      <c r="J398">
        <f>VLOOKUP(F398,Sheet1!$B$1:$D$41,3,FALSE)</f>
        <v>1106737</v>
      </c>
    </row>
    <row r="399" spans="1:10" x14ac:dyDescent="0.25">
      <c r="A399">
        <f>A395+1</f>
        <v>17</v>
      </c>
      <c r="B399" s="1" t="s">
        <v>21</v>
      </c>
      <c r="C399" s="1" t="s">
        <v>14</v>
      </c>
      <c r="D399" s="1" t="s">
        <v>39</v>
      </c>
      <c r="E399" t="s">
        <v>23</v>
      </c>
      <c r="F399" t="s">
        <v>22</v>
      </c>
      <c r="G399" t="str">
        <f>VLOOKUP(E399,Sheet1!$B$1:$D$41,2,FALSE)</f>
        <v>Simon</v>
      </c>
      <c r="H399" t="str">
        <f>VLOOKUP(F399,Sheet1!$B$1:$D$41,2,FALSE)</f>
        <v>James</v>
      </c>
      <c r="I399">
        <f>VLOOKUP(E399,Sheet1!$B$1:$D$41,3,FALSE)</f>
        <v>2438184</v>
      </c>
      <c r="J399">
        <f>VLOOKUP(F399,Sheet1!$B$1:$D$41,3,FALSE)</f>
        <v>191239</v>
      </c>
    </row>
    <row r="400" spans="1:10" x14ac:dyDescent="0.25">
      <c r="A400">
        <f>A396+1</f>
        <v>17</v>
      </c>
      <c r="B400" s="1" t="s">
        <v>21</v>
      </c>
      <c r="C400" s="1" t="s">
        <v>14</v>
      </c>
      <c r="D400" s="1" t="s">
        <v>39</v>
      </c>
      <c r="E400" t="s">
        <v>24</v>
      </c>
      <c r="F400" t="s">
        <v>28</v>
      </c>
      <c r="G400" t="str">
        <f>VLOOKUP(E400,Sheet1!$B$1:$D$41,2,FALSE)</f>
        <v>Gavin</v>
      </c>
      <c r="H400" t="str">
        <f>VLOOKUP(F400,Sheet1!$B$1:$D$41,2,FALSE)</f>
        <v>Keith</v>
      </c>
      <c r="I400">
        <f>VLOOKUP(E400,Sheet1!$B$1:$D$41,3,FALSE)</f>
        <v>3015602</v>
      </c>
      <c r="J400">
        <f>VLOOKUP(F400,Sheet1!$B$1:$D$41,3,FALSE)</f>
        <v>3014705</v>
      </c>
    </row>
    <row r="401" spans="1:10" x14ac:dyDescent="0.25">
      <c r="A401">
        <f>A397+1</f>
        <v>17</v>
      </c>
      <c r="B401" s="1" t="s">
        <v>21</v>
      </c>
      <c r="C401" s="1" t="s">
        <v>14</v>
      </c>
      <c r="D401" s="1" t="s">
        <v>39</v>
      </c>
      <c r="E401" t="s">
        <v>26</v>
      </c>
      <c r="F401" t="s">
        <v>27</v>
      </c>
      <c r="G401" t="str">
        <f>VLOOKUP(E401,Sheet1!$B$1:$D$41,2,FALSE)</f>
        <v>Walid</v>
      </c>
      <c r="H401" t="str">
        <f>VLOOKUP(F401,Sheet1!$B$1:$D$41,2,FALSE)</f>
        <v>Gordon</v>
      </c>
      <c r="I401">
        <f>VLOOKUP(E401,Sheet1!$B$1:$D$41,3,FALSE)</f>
        <v>2359578</v>
      </c>
      <c r="J401">
        <f>VLOOKUP(F401,Sheet1!$B$1:$D$41,3,FALSE)</f>
        <v>1177922</v>
      </c>
    </row>
    <row r="402" spans="1:10" x14ac:dyDescent="0.25">
      <c r="A402">
        <f>A398+1</f>
        <v>18</v>
      </c>
      <c r="B402" s="1" t="s">
        <v>21</v>
      </c>
      <c r="C402" s="1" t="s">
        <v>14</v>
      </c>
      <c r="D402" s="1" t="s">
        <v>39</v>
      </c>
      <c r="E402" t="s">
        <v>25</v>
      </c>
      <c r="F402" t="s">
        <v>26</v>
      </c>
      <c r="G402" t="str">
        <f>VLOOKUP(E402,Sheet1!$B$1:$D$41,2,FALSE)</f>
        <v>Andy</v>
      </c>
      <c r="H402" t="str">
        <f>VLOOKUP(F402,Sheet1!$B$1:$D$41,2,FALSE)</f>
        <v>Walid</v>
      </c>
      <c r="I402">
        <f>VLOOKUP(E402,Sheet1!$B$1:$D$41,3,FALSE)</f>
        <v>1106737</v>
      </c>
      <c r="J402">
        <f>VLOOKUP(F402,Sheet1!$B$1:$D$41,3,FALSE)</f>
        <v>2359578</v>
      </c>
    </row>
    <row r="403" spans="1:10" x14ac:dyDescent="0.25">
      <c r="A403">
        <f>A399+1</f>
        <v>18</v>
      </c>
      <c r="B403" s="1" t="s">
        <v>21</v>
      </c>
      <c r="C403" s="1" t="s">
        <v>14</v>
      </c>
      <c r="D403" s="1" t="s">
        <v>39</v>
      </c>
      <c r="E403" t="s">
        <v>27</v>
      </c>
      <c r="F403" t="s">
        <v>24</v>
      </c>
      <c r="G403" t="str">
        <f>VLOOKUP(E403,Sheet1!$B$1:$D$41,2,FALSE)</f>
        <v>Gordon</v>
      </c>
      <c r="H403" t="str">
        <f>VLOOKUP(F403,Sheet1!$B$1:$D$41,2,FALSE)</f>
        <v>Gavin</v>
      </c>
      <c r="I403">
        <f>VLOOKUP(E403,Sheet1!$B$1:$D$41,3,FALSE)</f>
        <v>1177922</v>
      </c>
      <c r="J403">
        <f>VLOOKUP(F403,Sheet1!$B$1:$D$41,3,FALSE)</f>
        <v>3015602</v>
      </c>
    </row>
    <row r="404" spans="1:10" x14ac:dyDescent="0.25">
      <c r="A404">
        <f>A400+1</f>
        <v>18</v>
      </c>
      <c r="B404" s="1" t="s">
        <v>21</v>
      </c>
      <c r="C404" s="1" t="s">
        <v>14</v>
      </c>
      <c r="D404" s="1" t="s">
        <v>39</v>
      </c>
      <c r="E404" t="s">
        <v>28</v>
      </c>
      <c r="F404" t="s">
        <v>23</v>
      </c>
      <c r="G404" t="str">
        <f>VLOOKUP(E404,Sheet1!$B$1:$D$41,2,FALSE)</f>
        <v>Keith</v>
      </c>
      <c r="H404" t="str">
        <f>VLOOKUP(F404,Sheet1!$B$1:$D$41,2,FALSE)</f>
        <v>Simon</v>
      </c>
      <c r="I404">
        <f>VLOOKUP(E404,Sheet1!$B$1:$D$41,3,FALSE)</f>
        <v>3014705</v>
      </c>
      <c r="J404">
        <f>VLOOKUP(F404,Sheet1!$B$1:$D$41,3,FALSE)</f>
        <v>2438184</v>
      </c>
    </row>
    <row r="405" spans="1:10" x14ac:dyDescent="0.25">
      <c r="A405">
        <f>A401+1</f>
        <v>18</v>
      </c>
      <c r="B405" s="1" t="s">
        <v>21</v>
      </c>
      <c r="C405" s="1" t="s">
        <v>14</v>
      </c>
      <c r="D405" s="1" t="s">
        <v>39</v>
      </c>
      <c r="E405" t="s">
        <v>22</v>
      </c>
      <c r="F405" t="s">
        <v>80</v>
      </c>
      <c r="G405" t="str">
        <f>VLOOKUP(E405,Sheet1!$B$1:$D$41,2,FALSE)</f>
        <v>James</v>
      </c>
      <c r="H405" t="str">
        <f>VLOOKUP(F405,Sheet1!$B$1:$D$41,2,FALSE)</f>
        <v>Steven</v>
      </c>
      <c r="I405">
        <f>VLOOKUP(E405,Sheet1!$B$1:$D$41,3,FALSE)</f>
        <v>191239</v>
      </c>
      <c r="J405">
        <f>VLOOKUP(F405,Sheet1!$B$1:$D$41,3,FALSE)</f>
        <v>200257</v>
      </c>
    </row>
    <row r="406" spans="1:10" x14ac:dyDescent="0.25">
      <c r="A406">
        <f>A402+1</f>
        <v>19</v>
      </c>
      <c r="B406" s="1" t="s">
        <v>21</v>
      </c>
      <c r="C406" s="1" t="s">
        <v>14</v>
      </c>
      <c r="D406" s="1" t="s">
        <v>39</v>
      </c>
      <c r="E406" t="s">
        <v>23</v>
      </c>
      <c r="F406" t="s">
        <v>25</v>
      </c>
      <c r="G406" t="str">
        <f>VLOOKUP(E406,Sheet1!$B$1:$D$41,2,FALSE)</f>
        <v>Simon</v>
      </c>
      <c r="H406" t="str">
        <f>VLOOKUP(F406,Sheet1!$B$1:$D$41,2,FALSE)</f>
        <v>Andy</v>
      </c>
      <c r="I406">
        <f>VLOOKUP(E406,Sheet1!$B$1:$D$41,3,FALSE)</f>
        <v>2438184</v>
      </c>
      <c r="J406">
        <f>VLOOKUP(F406,Sheet1!$B$1:$D$41,3,FALSE)</f>
        <v>1106737</v>
      </c>
    </row>
    <row r="407" spans="1:10" x14ac:dyDescent="0.25">
      <c r="A407">
        <f>A403+1</f>
        <v>19</v>
      </c>
      <c r="B407" s="1" t="s">
        <v>21</v>
      </c>
      <c r="C407" s="1" t="s">
        <v>14</v>
      </c>
      <c r="D407" s="1" t="s">
        <v>39</v>
      </c>
      <c r="E407" t="s">
        <v>24</v>
      </c>
      <c r="F407" t="s">
        <v>80</v>
      </c>
      <c r="G407" t="str">
        <f>VLOOKUP(E407,Sheet1!$B$1:$D$41,2,FALSE)</f>
        <v>Gavin</v>
      </c>
      <c r="H407" t="str">
        <f>VLOOKUP(F407,Sheet1!$B$1:$D$41,2,FALSE)</f>
        <v>Steven</v>
      </c>
      <c r="I407">
        <f>VLOOKUP(E407,Sheet1!$B$1:$D$41,3,FALSE)</f>
        <v>3015602</v>
      </c>
      <c r="J407">
        <f>VLOOKUP(F407,Sheet1!$B$1:$D$41,3,FALSE)</f>
        <v>200257</v>
      </c>
    </row>
    <row r="408" spans="1:10" x14ac:dyDescent="0.25">
      <c r="A408">
        <f>A404+1</f>
        <v>19</v>
      </c>
      <c r="B408" s="1" t="s">
        <v>21</v>
      </c>
      <c r="C408" s="1" t="s">
        <v>14</v>
      </c>
      <c r="D408" s="1" t="s">
        <v>39</v>
      </c>
      <c r="E408" t="s">
        <v>26</v>
      </c>
      <c r="F408" t="s">
        <v>22</v>
      </c>
      <c r="G408" t="str">
        <f>VLOOKUP(E408,Sheet1!$B$1:$D$41,2,FALSE)</f>
        <v>Walid</v>
      </c>
      <c r="H408" t="str">
        <f>VLOOKUP(F408,Sheet1!$B$1:$D$41,2,FALSE)</f>
        <v>James</v>
      </c>
      <c r="I408">
        <f>VLOOKUP(E408,Sheet1!$B$1:$D$41,3,FALSE)</f>
        <v>2359578</v>
      </c>
      <c r="J408">
        <f>VLOOKUP(F408,Sheet1!$B$1:$D$41,3,FALSE)</f>
        <v>191239</v>
      </c>
    </row>
    <row r="409" spans="1:10" x14ac:dyDescent="0.25">
      <c r="A409">
        <f>A405+1</f>
        <v>19</v>
      </c>
      <c r="B409" s="1" t="s">
        <v>21</v>
      </c>
      <c r="C409" s="1" t="s">
        <v>14</v>
      </c>
      <c r="D409" s="1" t="s">
        <v>39</v>
      </c>
      <c r="E409" t="s">
        <v>27</v>
      </c>
      <c r="F409" t="s">
        <v>28</v>
      </c>
      <c r="G409" t="str">
        <f>VLOOKUP(E409,Sheet1!$B$1:$D$41,2,FALSE)</f>
        <v>Gordon</v>
      </c>
      <c r="H409" t="str">
        <f>VLOOKUP(F409,Sheet1!$B$1:$D$41,2,FALSE)</f>
        <v>Keith</v>
      </c>
      <c r="I409">
        <f>VLOOKUP(E409,Sheet1!$B$1:$D$41,3,FALSE)</f>
        <v>1177922</v>
      </c>
      <c r="J409">
        <f>VLOOKUP(F409,Sheet1!$B$1:$D$41,3,FALSE)</f>
        <v>3014705</v>
      </c>
    </row>
    <row r="410" spans="1:10" x14ac:dyDescent="0.25">
      <c r="A410">
        <f>A406+1</f>
        <v>20</v>
      </c>
      <c r="B410" s="1" t="s">
        <v>21</v>
      </c>
      <c r="C410" s="1" t="s">
        <v>14</v>
      </c>
      <c r="D410" s="1" t="s">
        <v>39</v>
      </c>
      <c r="E410" t="s">
        <v>25</v>
      </c>
      <c r="F410" t="s">
        <v>27</v>
      </c>
      <c r="G410" t="str">
        <f>VLOOKUP(E410,Sheet1!$B$1:$D$41,2,FALSE)</f>
        <v>Andy</v>
      </c>
      <c r="H410" t="str">
        <f>VLOOKUP(F410,Sheet1!$B$1:$D$41,2,FALSE)</f>
        <v>Gordon</v>
      </c>
      <c r="I410">
        <f>VLOOKUP(E410,Sheet1!$B$1:$D$41,3,FALSE)</f>
        <v>1106737</v>
      </c>
      <c r="J410">
        <f>VLOOKUP(F410,Sheet1!$B$1:$D$41,3,FALSE)</f>
        <v>1177922</v>
      </c>
    </row>
    <row r="411" spans="1:10" x14ac:dyDescent="0.25">
      <c r="A411">
        <f>A407+1</f>
        <v>20</v>
      </c>
      <c r="B411" s="1" t="s">
        <v>21</v>
      </c>
      <c r="C411" s="1" t="s">
        <v>14</v>
      </c>
      <c r="D411" s="1" t="s">
        <v>39</v>
      </c>
      <c r="E411" t="s">
        <v>28</v>
      </c>
      <c r="F411" t="s">
        <v>26</v>
      </c>
      <c r="G411" t="str">
        <f>VLOOKUP(E411,Sheet1!$B$1:$D$41,2,FALSE)</f>
        <v>Keith</v>
      </c>
      <c r="H411" t="str">
        <f>VLOOKUP(F411,Sheet1!$B$1:$D$41,2,FALSE)</f>
        <v>Walid</v>
      </c>
      <c r="I411">
        <f>VLOOKUP(E411,Sheet1!$B$1:$D$41,3,FALSE)</f>
        <v>3014705</v>
      </c>
      <c r="J411">
        <f>VLOOKUP(F411,Sheet1!$B$1:$D$41,3,FALSE)</f>
        <v>2359578</v>
      </c>
    </row>
    <row r="412" spans="1:10" x14ac:dyDescent="0.25">
      <c r="A412">
        <f>A408+1</f>
        <v>20</v>
      </c>
      <c r="B412" s="1" t="s">
        <v>21</v>
      </c>
      <c r="C412" s="1" t="s">
        <v>14</v>
      </c>
      <c r="D412" s="1" t="s">
        <v>39</v>
      </c>
      <c r="E412" t="s">
        <v>22</v>
      </c>
      <c r="F412" t="s">
        <v>24</v>
      </c>
      <c r="G412" t="str">
        <f>VLOOKUP(E412,Sheet1!$B$1:$D$41,2,FALSE)</f>
        <v>James</v>
      </c>
      <c r="H412" t="str">
        <f>VLOOKUP(F412,Sheet1!$B$1:$D$41,2,FALSE)</f>
        <v>Gavin</v>
      </c>
      <c r="I412">
        <f>VLOOKUP(E412,Sheet1!$B$1:$D$41,3,FALSE)</f>
        <v>191239</v>
      </c>
      <c r="J412">
        <f>VLOOKUP(F412,Sheet1!$B$1:$D$41,3,FALSE)</f>
        <v>3015602</v>
      </c>
    </row>
    <row r="413" spans="1:10" x14ac:dyDescent="0.25">
      <c r="A413">
        <f>A409+1</f>
        <v>20</v>
      </c>
      <c r="B413" s="1" t="s">
        <v>21</v>
      </c>
      <c r="C413" s="1" t="s">
        <v>14</v>
      </c>
      <c r="D413" s="1" t="s">
        <v>39</v>
      </c>
      <c r="E413" t="s">
        <v>80</v>
      </c>
      <c r="F413" t="s">
        <v>23</v>
      </c>
      <c r="G413" t="str">
        <f>VLOOKUP(E413,Sheet1!$B$1:$D$41,2,FALSE)</f>
        <v>Steven</v>
      </c>
      <c r="H413" t="str">
        <f>VLOOKUP(F413,Sheet1!$B$1:$D$41,2,FALSE)</f>
        <v>Simon</v>
      </c>
      <c r="I413">
        <f>VLOOKUP(E413,Sheet1!$B$1:$D$41,3,FALSE)</f>
        <v>200257</v>
      </c>
      <c r="J413">
        <f>VLOOKUP(F413,Sheet1!$B$1:$D$41,3,FALSE)</f>
        <v>2438184</v>
      </c>
    </row>
    <row r="414" spans="1:10" x14ac:dyDescent="0.25">
      <c r="A414">
        <v>21</v>
      </c>
      <c r="B414" s="1" t="s">
        <v>21</v>
      </c>
      <c r="C414" t="s">
        <v>37</v>
      </c>
      <c r="D414" s="1" t="s">
        <v>40</v>
      </c>
      <c r="E414" t="s">
        <v>29</v>
      </c>
      <c r="F414" t="s">
        <v>34</v>
      </c>
      <c r="I414">
        <v>1106737</v>
      </c>
      <c r="J414">
        <v>3014211</v>
      </c>
    </row>
    <row r="415" spans="1:10" x14ac:dyDescent="0.25">
      <c r="A415">
        <v>21</v>
      </c>
      <c r="B415" s="1" t="s">
        <v>21</v>
      </c>
      <c r="C415" t="s">
        <v>37</v>
      </c>
      <c r="D415" s="1" t="s">
        <v>40</v>
      </c>
      <c r="E415" t="s">
        <v>30</v>
      </c>
      <c r="F415" t="s">
        <v>36</v>
      </c>
      <c r="I415">
        <v>3015602</v>
      </c>
      <c r="J415">
        <v>2359578</v>
      </c>
    </row>
    <row r="416" spans="1:10" x14ac:dyDescent="0.25">
      <c r="A416">
        <v>21</v>
      </c>
      <c r="B416" s="1" t="s">
        <v>21</v>
      </c>
      <c r="C416" t="s">
        <v>37</v>
      </c>
      <c r="D416" s="1" t="s">
        <v>40</v>
      </c>
      <c r="E416" t="s">
        <v>34</v>
      </c>
      <c r="F416" t="s">
        <v>29</v>
      </c>
      <c r="I416">
        <v>3014211</v>
      </c>
      <c r="J416">
        <v>1106737</v>
      </c>
    </row>
    <row r="417" spans="1:10" x14ac:dyDescent="0.25">
      <c r="A417">
        <v>21</v>
      </c>
      <c r="B417" s="1" t="s">
        <v>21</v>
      </c>
      <c r="C417" t="s">
        <v>37</v>
      </c>
      <c r="D417" s="1" t="s">
        <v>40</v>
      </c>
      <c r="E417" t="s">
        <v>36</v>
      </c>
      <c r="F417" t="s">
        <v>30</v>
      </c>
      <c r="I417">
        <v>2359578</v>
      </c>
      <c r="J417">
        <v>3015602</v>
      </c>
    </row>
    <row r="418" spans="1:10" x14ac:dyDescent="0.25">
      <c r="A418">
        <f>A414+1</f>
        <v>22</v>
      </c>
      <c r="B418" s="1" t="s">
        <v>21</v>
      </c>
      <c r="C418" s="1" t="s">
        <v>14</v>
      </c>
      <c r="D418" s="1" t="s">
        <v>39</v>
      </c>
      <c r="E418" t="s">
        <v>28</v>
      </c>
      <c r="F418" t="s">
        <v>25</v>
      </c>
      <c r="G418" t="str">
        <f>VLOOKUP(E418,Sheet1!$B$1:$D$41,2,FALSE)</f>
        <v>Keith</v>
      </c>
      <c r="H418" t="str">
        <f>VLOOKUP(F418,Sheet1!$B$1:$D$41,2,FALSE)</f>
        <v>Andy</v>
      </c>
      <c r="I418">
        <f>VLOOKUP(E418,Sheet1!$B$1:$D$41,3,FALSE)</f>
        <v>3014705</v>
      </c>
      <c r="J418">
        <f>VLOOKUP(F418,Sheet1!$B$1:$D$41,3,FALSE)</f>
        <v>1106737</v>
      </c>
    </row>
    <row r="419" spans="1:10" x14ac:dyDescent="0.25">
      <c r="A419">
        <f>A415+1</f>
        <v>22</v>
      </c>
      <c r="B419" s="1" t="s">
        <v>21</v>
      </c>
      <c r="C419" s="1" t="s">
        <v>14</v>
      </c>
      <c r="D419" s="1" t="s">
        <v>39</v>
      </c>
      <c r="E419" t="s">
        <v>22</v>
      </c>
      <c r="F419" t="s">
        <v>27</v>
      </c>
      <c r="G419" t="str">
        <f>VLOOKUP(E419,Sheet1!$B$1:$D$41,2,FALSE)</f>
        <v>James</v>
      </c>
      <c r="H419" t="str">
        <f>VLOOKUP(F419,Sheet1!$B$1:$D$41,2,FALSE)</f>
        <v>Gordon</v>
      </c>
      <c r="I419">
        <f>VLOOKUP(E419,Sheet1!$B$1:$D$41,3,FALSE)</f>
        <v>191239</v>
      </c>
      <c r="J419">
        <f>VLOOKUP(F419,Sheet1!$B$1:$D$41,3,FALSE)</f>
        <v>1177922</v>
      </c>
    </row>
    <row r="420" spans="1:10" x14ac:dyDescent="0.25">
      <c r="A420">
        <f>A416+1</f>
        <v>22</v>
      </c>
      <c r="B420" s="1" t="s">
        <v>21</v>
      </c>
      <c r="C420" s="1" t="s">
        <v>14</v>
      </c>
      <c r="D420" s="1" t="s">
        <v>39</v>
      </c>
      <c r="E420" t="s">
        <v>80</v>
      </c>
      <c r="F420" t="s">
        <v>26</v>
      </c>
      <c r="G420" t="str">
        <f>VLOOKUP(E420,Sheet1!$B$1:$D$41,2,FALSE)</f>
        <v>Steven</v>
      </c>
      <c r="H420" t="str">
        <f>VLOOKUP(F420,Sheet1!$B$1:$D$41,2,FALSE)</f>
        <v>Walid</v>
      </c>
      <c r="I420">
        <f>VLOOKUP(E420,Sheet1!$B$1:$D$41,3,FALSE)</f>
        <v>200257</v>
      </c>
      <c r="J420">
        <f>VLOOKUP(F420,Sheet1!$B$1:$D$41,3,FALSE)</f>
        <v>2359578</v>
      </c>
    </row>
    <row r="421" spans="1:10" x14ac:dyDescent="0.25">
      <c r="A421">
        <f>A417+1</f>
        <v>22</v>
      </c>
      <c r="B421" s="1" t="s">
        <v>21</v>
      </c>
      <c r="C421" s="1" t="s">
        <v>14</v>
      </c>
      <c r="D421" s="1" t="s">
        <v>39</v>
      </c>
      <c r="E421" t="s">
        <v>23</v>
      </c>
      <c r="F421" t="s">
        <v>24</v>
      </c>
      <c r="G421" t="str">
        <f>VLOOKUP(E421,Sheet1!$B$1:$D$41,2,FALSE)</f>
        <v>Simon</v>
      </c>
      <c r="H421" t="str">
        <f>VLOOKUP(F421,Sheet1!$B$1:$D$41,2,FALSE)</f>
        <v>Gavin</v>
      </c>
      <c r="I421">
        <f>VLOOKUP(E421,Sheet1!$B$1:$D$41,3,FALSE)</f>
        <v>2438184</v>
      </c>
      <c r="J421">
        <f>VLOOKUP(F421,Sheet1!$B$1:$D$41,3,FALSE)</f>
        <v>3015602</v>
      </c>
    </row>
    <row r="422" spans="1:10" x14ac:dyDescent="0.25">
      <c r="A422">
        <v>22</v>
      </c>
      <c r="B422" s="1" t="s">
        <v>21</v>
      </c>
      <c r="C422" t="s">
        <v>37</v>
      </c>
      <c r="D422" s="1" t="s">
        <v>40</v>
      </c>
      <c r="E422" t="s">
        <v>31</v>
      </c>
      <c r="F422" t="s">
        <v>35</v>
      </c>
      <c r="I422">
        <v>1177922</v>
      </c>
      <c r="J422">
        <v>200257</v>
      </c>
    </row>
    <row r="423" spans="1:10" x14ac:dyDescent="0.25">
      <c r="A423">
        <v>22</v>
      </c>
      <c r="B423" s="1" t="s">
        <v>21</v>
      </c>
      <c r="C423" t="s">
        <v>37</v>
      </c>
      <c r="D423" s="1" t="s">
        <v>40</v>
      </c>
      <c r="E423" t="s">
        <v>32</v>
      </c>
      <c r="F423" t="s">
        <v>33</v>
      </c>
      <c r="I423">
        <v>191239</v>
      </c>
      <c r="J423">
        <v>3014705</v>
      </c>
    </row>
    <row r="424" spans="1:10" x14ac:dyDescent="0.25">
      <c r="A424">
        <v>22</v>
      </c>
      <c r="B424" s="1" t="s">
        <v>21</v>
      </c>
      <c r="C424" t="s">
        <v>37</v>
      </c>
      <c r="D424" s="1" t="s">
        <v>40</v>
      </c>
      <c r="E424" t="s">
        <v>33</v>
      </c>
      <c r="F424" t="s">
        <v>32</v>
      </c>
      <c r="I424">
        <v>3014705</v>
      </c>
      <c r="J424">
        <v>191239</v>
      </c>
    </row>
    <row r="425" spans="1:10" x14ac:dyDescent="0.25">
      <c r="A425">
        <v>22</v>
      </c>
      <c r="B425" s="1" t="s">
        <v>21</v>
      </c>
      <c r="C425" t="s">
        <v>37</v>
      </c>
      <c r="D425" s="1" t="s">
        <v>40</v>
      </c>
      <c r="E425" t="s">
        <v>35</v>
      </c>
      <c r="F425" t="s">
        <v>31</v>
      </c>
      <c r="I425">
        <v>200257</v>
      </c>
      <c r="J425">
        <v>1177922</v>
      </c>
    </row>
    <row r="426" spans="1:10" x14ac:dyDescent="0.25">
      <c r="A426">
        <f>A422+1</f>
        <v>23</v>
      </c>
      <c r="B426" s="1" t="s">
        <v>21</v>
      </c>
      <c r="C426" s="1" t="s">
        <v>14</v>
      </c>
      <c r="D426" s="1" t="s">
        <v>39</v>
      </c>
      <c r="E426" t="s">
        <v>22</v>
      </c>
      <c r="F426" t="s">
        <v>25</v>
      </c>
      <c r="G426" t="str">
        <f>VLOOKUP(E426,Sheet1!$B$1:$D$41,2,FALSE)</f>
        <v>James</v>
      </c>
      <c r="H426" t="str">
        <f>VLOOKUP(F426,Sheet1!$B$1:$D$41,2,FALSE)</f>
        <v>Andy</v>
      </c>
      <c r="I426">
        <f>VLOOKUP(E426,Sheet1!$B$1:$D$41,3,FALSE)</f>
        <v>191239</v>
      </c>
      <c r="J426">
        <f>VLOOKUP(F426,Sheet1!$B$1:$D$41,3,FALSE)</f>
        <v>1106737</v>
      </c>
    </row>
    <row r="427" spans="1:10" x14ac:dyDescent="0.25">
      <c r="A427">
        <f>A423+1</f>
        <v>23</v>
      </c>
      <c r="B427" s="1" t="s">
        <v>21</v>
      </c>
      <c r="C427" s="1" t="s">
        <v>14</v>
      </c>
      <c r="D427" s="1" t="s">
        <v>39</v>
      </c>
      <c r="E427" t="s">
        <v>80</v>
      </c>
      <c r="F427" t="s">
        <v>28</v>
      </c>
      <c r="G427" t="str">
        <f>VLOOKUP(E427,Sheet1!$B$1:$D$41,2,FALSE)</f>
        <v>Steven</v>
      </c>
      <c r="H427" t="str">
        <f>VLOOKUP(F427,Sheet1!$B$1:$D$41,2,FALSE)</f>
        <v>Keith</v>
      </c>
      <c r="I427">
        <f>VLOOKUP(E427,Sheet1!$B$1:$D$41,3,FALSE)</f>
        <v>200257</v>
      </c>
      <c r="J427">
        <f>VLOOKUP(F427,Sheet1!$B$1:$D$41,3,FALSE)</f>
        <v>3014705</v>
      </c>
    </row>
    <row r="428" spans="1:10" x14ac:dyDescent="0.25">
      <c r="A428">
        <f>A424+1</f>
        <v>23</v>
      </c>
      <c r="B428" s="1" t="s">
        <v>21</v>
      </c>
      <c r="C428" s="1" t="s">
        <v>14</v>
      </c>
      <c r="D428" s="1" t="s">
        <v>39</v>
      </c>
      <c r="E428" t="s">
        <v>23</v>
      </c>
      <c r="F428" t="s">
        <v>27</v>
      </c>
      <c r="G428" t="str">
        <f>VLOOKUP(E428,Sheet1!$B$1:$D$41,2,FALSE)</f>
        <v>Simon</v>
      </c>
      <c r="H428" t="str">
        <f>VLOOKUP(F428,Sheet1!$B$1:$D$41,2,FALSE)</f>
        <v>Gordon</v>
      </c>
      <c r="I428">
        <f>VLOOKUP(E428,Sheet1!$B$1:$D$41,3,FALSE)</f>
        <v>2438184</v>
      </c>
      <c r="J428">
        <f>VLOOKUP(F428,Sheet1!$B$1:$D$41,3,FALSE)</f>
        <v>1177922</v>
      </c>
    </row>
    <row r="429" spans="1:10" x14ac:dyDescent="0.25">
      <c r="A429">
        <f>A425+1</f>
        <v>23</v>
      </c>
      <c r="B429" s="1" t="s">
        <v>21</v>
      </c>
      <c r="C429" s="1" t="s">
        <v>14</v>
      </c>
      <c r="D429" s="1" t="s">
        <v>39</v>
      </c>
      <c r="E429" t="s">
        <v>24</v>
      </c>
      <c r="F429" t="s">
        <v>26</v>
      </c>
      <c r="G429" t="str">
        <f>VLOOKUP(E429,Sheet1!$B$1:$D$41,2,FALSE)</f>
        <v>Gavin</v>
      </c>
      <c r="H429" t="str">
        <f>VLOOKUP(F429,Sheet1!$B$1:$D$41,2,FALSE)</f>
        <v>Walid</v>
      </c>
      <c r="I429">
        <f>VLOOKUP(E429,Sheet1!$B$1:$D$41,3,FALSE)</f>
        <v>3015602</v>
      </c>
      <c r="J429">
        <f>VLOOKUP(F429,Sheet1!$B$1:$D$41,3,FALSE)</f>
        <v>2359578</v>
      </c>
    </row>
    <row r="430" spans="1:10" x14ac:dyDescent="0.25">
      <c r="A430">
        <v>23</v>
      </c>
      <c r="B430" s="1" t="s">
        <v>21</v>
      </c>
      <c r="C430" t="s">
        <v>37</v>
      </c>
      <c r="D430" t="s">
        <v>47</v>
      </c>
      <c r="E430" t="s">
        <v>30</v>
      </c>
      <c r="F430" t="s">
        <v>31</v>
      </c>
      <c r="I430">
        <v>3015602</v>
      </c>
      <c r="J430">
        <v>1177922</v>
      </c>
    </row>
    <row r="431" spans="1:10" x14ac:dyDescent="0.25">
      <c r="A431">
        <v>23</v>
      </c>
      <c r="B431" s="1" t="s">
        <v>21</v>
      </c>
      <c r="C431" t="s">
        <v>37</v>
      </c>
      <c r="D431" t="s">
        <v>47</v>
      </c>
      <c r="E431" t="s">
        <v>31</v>
      </c>
      <c r="F431" t="s">
        <v>30</v>
      </c>
      <c r="I431">
        <v>1177922</v>
      </c>
      <c r="J431">
        <v>3015602</v>
      </c>
    </row>
    <row r="432" spans="1:10" x14ac:dyDescent="0.25">
      <c r="A432">
        <f>A428+1</f>
        <v>24</v>
      </c>
      <c r="B432" s="1" t="s">
        <v>21</v>
      </c>
      <c r="C432" s="1" t="s">
        <v>14</v>
      </c>
      <c r="D432" s="1" t="s">
        <v>39</v>
      </c>
      <c r="E432" t="s">
        <v>25</v>
      </c>
      <c r="F432" t="s">
        <v>24</v>
      </c>
      <c r="G432" t="str">
        <f>VLOOKUP(E432,Sheet1!$B$1:$D$41,2,FALSE)</f>
        <v>Andy</v>
      </c>
      <c r="H432" t="str">
        <f>VLOOKUP(F432,Sheet1!$B$1:$D$41,2,FALSE)</f>
        <v>Gavin</v>
      </c>
      <c r="I432">
        <f>VLOOKUP(E432,Sheet1!$B$1:$D$41,3,FALSE)</f>
        <v>1106737</v>
      </c>
      <c r="J432">
        <f>VLOOKUP(F432,Sheet1!$B$1:$D$41,3,FALSE)</f>
        <v>3015602</v>
      </c>
    </row>
    <row r="433" spans="1:10" x14ac:dyDescent="0.25">
      <c r="A433">
        <f>A429+1</f>
        <v>24</v>
      </c>
      <c r="B433" s="1" t="s">
        <v>21</v>
      </c>
      <c r="C433" s="1" t="s">
        <v>14</v>
      </c>
      <c r="D433" s="1" t="s">
        <v>39</v>
      </c>
      <c r="E433" t="s">
        <v>26</v>
      </c>
      <c r="F433" t="s">
        <v>23</v>
      </c>
      <c r="G433" t="str">
        <f>VLOOKUP(E433,Sheet1!$B$1:$D$41,2,FALSE)</f>
        <v>Walid</v>
      </c>
      <c r="H433" t="str">
        <f>VLOOKUP(F433,Sheet1!$B$1:$D$41,2,FALSE)</f>
        <v>Simon</v>
      </c>
      <c r="I433">
        <f>VLOOKUP(E433,Sheet1!$B$1:$D$41,3,FALSE)</f>
        <v>2359578</v>
      </c>
      <c r="J433">
        <f>VLOOKUP(F433,Sheet1!$B$1:$D$41,3,FALSE)</f>
        <v>2438184</v>
      </c>
    </row>
    <row r="434" spans="1:10" x14ac:dyDescent="0.25">
      <c r="A434">
        <f>A430+1</f>
        <v>24</v>
      </c>
      <c r="B434" s="1" t="s">
        <v>21</v>
      </c>
      <c r="C434" s="1" t="s">
        <v>14</v>
      </c>
      <c r="D434" s="1" t="s">
        <v>39</v>
      </c>
      <c r="E434" t="s">
        <v>27</v>
      </c>
      <c r="F434" t="s">
        <v>80</v>
      </c>
      <c r="G434" t="str">
        <f>VLOOKUP(E434,Sheet1!$B$1:$D$41,2,FALSE)</f>
        <v>Gordon</v>
      </c>
      <c r="H434" t="str">
        <f>VLOOKUP(F434,Sheet1!$B$1:$D$41,2,FALSE)</f>
        <v>Steven</v>
      </c>
      <c r="I434">
        <f>VLOOKUP(E434,Sheet1!$B$1:$D$41,3,FALSE)</f>
        <v>1177922</v>
      </c>
      <c r="J434">
        <f>VLOOKUP(F434,Sheet1!$B$1:$D$41,3,FALSE)</f>
        <v>200257</v>
      </c>
    </row>
    <row r="435" spans="1:10" x14ac:dyDescent="0.25">
      <c r="A435">
        <f>A431+1</f>
        <v>24</v>
      </c>
      <c r="B435" s="1" t="s">
        <v>21</v>
      </c>
      <c r="C435" s="1" t="s">
        <v>14</v>
      </c>
      <c r="D435" s="1" t="s">
        <v>39</v>
      </c>
      <c r="E435" t="s">
        <v>28</v>
      </c>
      <c r="F435" t="s">
        <v>22</v>
      </c>
      <c r="G435" t="str">
        <f>VLOOKUP(E435,Sheet1!$B$1:$D$41,2,FALSE)</f>
        <v>Keith</v>
      </c>
      <c r="H435" t="str">
        <f>VLOOKUP(F435,Sheet1!$B$1:$D$41,2,FALSE)</f>
        <v>James</v>
      </c>
      <c r="I435">
        <f>VLOOKUP(E435,Sheet1!$B$1:$D$41,3,FALSE)</f>
        <v>3014705</v>
      </c>
      <c r="J435">
        <f>VLOOKUP(F435,Sheet1!$B$1:$D$41,3,FALSE)</f>
        <v>191239</v>
      </c>
    </row>
    <row r="436" spans="1:10" x14ac:dyDescent="0.25">
      <c r="A436">
        <v>24</v>
      </c>
      <c r="B436" s="1" t="s">
        <v>21</v>
      </c>
      <c r="C436" t="s">
        <v>37</v>
      </c>
      <c r="D436" t="s">
        <v>47</v>
      </c>
      <c r="E436" t="s">
        <v>32</v>
      </c>
      <c r="F436" t="s">
        <v>34</v>
      </c>
      <c r="I436">
        <v>191239</v>
      </c>
      <c r="J436">
        <v>3014211</v>
      </c>
    </row>
    <row r="437" spans="1:10" x14ac:dyDescent="0.25">
      <c r="A437">
        <v>24</v>
      </c>
      <c r="B437" s="1" t="s">
        <v>21</v>
      </c>
      <c r="C437" t="s">
        <v>37</v>
      </c>
      <c r="D437" t="s">
        <v>47</v>
      </c>
      <c r="E437" t="s">
        <v>34</v>
      </c>
      <c r="F437" t="s">
        <v>32</v>
      </c>
      <c r="I437">
        <v>3014211</v>
      </c>
      <c r="J437">
        <v>191239</v>
      </c>
    </row>
    <row r="438" spans="1:10" x14ac:dyDescent="0.25">
      <c r="A438">
        <f>A434+1</f>
        <v>25</v>
      </c>
      <c r="B438" s="1" t="s">
        <v>21</v>
      </c>
      <c r="C438" s="1" t="s">
        <v>14</v>
      </c>
      <c r="D438" s="1" t="s">
        <v>39</v>
      </c>
      <c r="E438" t="s">
        <v>80</v>
      </c>
      <c r="F438" t="s">
        <v>25</v>
      </c>
      <c r="G438" t="str">
        <f>VLOOKUP(E438,Sheet1!$B$1:$D$41,2,FALSE)</f>
        <v>Steven</v>
      </c>
      <c r="H438" t="str">
        <f>VLOOKUP(F438,Sheet1!$B$1:$D$41,2,FALSE)</f>
        <v>Andy</v>
      </c>
      <c r="I438">
        <f>VLOOKUP(E438,Sheet1!$B$1:$D$41,3,FALSE)</f>
        <v>200257</v>
      </c>
      <c r="J438">
        <f>VLOOKUP(F438,Sheet1!$B$1:$D$41,3,FALSE)</f>
        <v>1106737</v>
      </c>
    </row>
    <row r="439" spans="1:10" x14ac:dyDescent="0.25">
      <c r="A439">
        <f>A435+1</f>
        <v>25</v>
      </c>
      <c r="B439" s="1" t="s">
        <v>21</v>
      </c>
      <c r="C439" s="1" t="s">
        <v>14</v>
      </c>
      <c r="D439" s="1" t="s">
        <v>39</v>
      </c>
      <c r="E439" t="s">
        <v>23</v>
      </c>
      <c r="F439" t="s">
        <v>22</v>
      </c>
      <c r="G439" t="str">
        <f>VLOOKUP(E439,Sheet1!$B$1:$D$41,2,FALSE)</f>
        <v>Simon</v>
      </c>
      <c r="H439" t="str">
        <f>VLOOKUP(F439,Sheet1!$B$1:$D$41,2,FALSE)</f>
        <v>James</v>
      </c>
      <c r="I439">
        <f>VLOOKUP(E439,Sheet1!$B$1:$D$41,3,FALSE)</f>
        <v>2438184</v>
      </c>
      <c r="J439">
        <f>VLOOKUP(F439,Sheet1!$B$1:$D$41,3,FALSE)</f>
        <v>191239</v>
      </c>
    </row>
    <row r="440" spans="1:10" x14ac:dyDescent="0.25">
      <c r="A440">
        <f>A436+1</f>
        <v>25</v>
      </c>
      <c r="B440" s="1" t="s">
        <v>21</v>
      </c>
      <c r="C440" s="1" t="s">
        <v>14</v>
      </c>
      <c r="D440" s="1" t="s">
        <v>39</v>
      </c>
      <c r="E440" t="s">
        <v>24</v>
      </c>
      <c r="F440" t="s">
        <v>28</v>
      </c>
      <c r="G440" t="str">
        <f>VLOOKUP(E440,Sheet1!$B$1:$D$41,2,FALSE)</f>
        <v>Gavin</v>
      </c>
      <c r="H440" t="str">
        <f>VLOOKUP(F440,Sheet1!$B$1:$D$41,2,FALSE)</f>
        <v>Keith</v>
      </c>
      <c r="I440">
        <f>VLOOKUP(E440,Sheet1!$B$1:$D$41,3,FALSE)</f>
        <v>3015602</v>
      </c>
      <c r="J440">
        <f>VLOOKUP(F440,Sheet1!$B$1:$D$41,3,FALSE)</f>
        <v>3014705</v>
      </c>
    </row>
    <row r="441" spans="1:10" x14ac:dyDescent="0.25">
      <c r="A441">
        <f>A437+1</f>
        <v>25</v>
      </c>
      <c r="B441" s="1" t="s">
        <v>21</v>
      </c>
      <c r="C441" s="1" t="s">
        <v>14</v>
      </c>
      <c r="D441" s="1" t="s">
        <v>39</v>
      </c>
      <c r="E441" t="s">
        <v>26</v>
      </c>
      <c r="F441" t="s">
        <v>27</v>
      </c>
      <c r="G441" t="str">
        <f>VLOOKUP(E441,Sheet1!$B$1:$D$41,2,FALSE)</f>
        <v>Walid</v>
      </c>
      <c r="H441" t="str">
        <f>VLOOKUP(F441,Sheet1!$B$1:$D$41,2,FALSE)</f>
        <v>Gordon</v>
      </c>
      <c r="I441">
        <f>VLOOKUP(E441,Sheet1!$B$1:$D$41,3,FALSE)</f>
        <v>2359578</v>
      </c>
      <c r="J441">
        <f>VLOOKUP(F441,Sheet1!$B$1:$D$41,3,FALSE)</f>
        <v>1177922</v>
      </c>
    </row>
    <row r="442" spans="1:10" x14ac:dyDescent="0.25">
      <c r="A442">
        <v>25</v>
      </c>
      <c r="B442" s="1" t="s">
        <v>21</v>
      </c>
      <c r="C442" t="s">
        <v>37</v>
      </c>
      <c r="D442" t="s">
        <v>48</v>
      </c>
      <c r="E442" t="s">
        <v>30</v>
      </c>
      <c r="F442" t="s">
        <v>34</v>
      </c>
      <c r="I442">
        <v>3015602</v>
      </c>
      <c r="J442">
        <v>3014211</v>
      </c>
    </row>
    <row r="443" spans="1:10" x14ac:dyDescent="0.25">
      <c r="A443">
        <v>25</v>
      </c>
      <c r="B443" s="1" t="s">
        <v>21</v>
      </c>
      <c r="C443" t="s">
        <v>37</v>
      </c>
      <c r="D443" t="s">
        <v>48</v>
      </c>
      <c r="E443" t="s">
        <v>34</v>
      </c>
      <c r="F443" t="s">
        <v>30</v>
      </c>
      <c r="I443">
        <v>3014211</v>
      </c>
      <c r="J443">
        <v>3015602</v>
      </c>
    </row>
    <row r="444" spans="1:10" x14ac:dyDescent="0.25">
      <c r="A444">
        <f>A440+1</f>
        <v>26</v>
      </c>
      <c r="B444" s="1" t="s">
        <v>21</v>
      </c>
      <c r="C444" s="1" t="s">
        <v>14</v>
      </c>
      <c r="D444" s="1" t="s">
        <v>39</v>
      </c>
      <c r="E444" t="s">
        <v>25</v>
      </c>
      <c r="F444" t="s">
        <v>26</v>
      </c>
      <c r="G444" t="str">
        <f>VLOOKUP(E444,Sheet1!$B$1:$D$41,2,FALSE)</f>
        <v>Andy</v>
      </c>
      <c r="H444" t="str">
        <f>VLOOKUP(F444,Sheet1!$B$1:$D$41,2,FALSE)</f>
        <v>Walid</v>
      </c>
      <c r="I444">
        <f>VLOOKUP(E444,Sheet1!$B$1:$D$41,3,FALSE)</f>
        <v>1106737</v>
      </c>
      <c r="J444">
        <f>VLOOKUP(F444,Sheet1!$B$1:$D$41,3,FALSE)</f>
        <v>2359578</v>
      </c>
    </row>
    <row r="445" spans="1:10" x14ac:dyDescent="0.25">
      <c r="A445">
        <f>A441+1</f>
        <v>26</v>
      </c>
      <c r="B445" s="1" t="s">
        <v>21</v>
      </c>
      <c r="C445" s="1" t="s">
        <v>14</v>
      </c>
      <c r="D445" s="1" t="s">
        <v>39</v>
      </c>
      <c r="E445" t="s">
        <v>27</v>
      </c>
      <c r="F445" t="s">
        <v>24</v>
      </c>
      <c r="G445" t="str">
        <f>VLOOKUP(E445,Sheet1!$B$1:$D$41,2,FALSE)</f>
        <v>Gordon</v>
      </c>
      <c r="H445" t="str">
        <f>VLOOKUP(F445,Sheet1!$B$1:$D$41,2,FALSE)</f>
        <v>Gavin</v>
      </c>
      <c r="I445">
        <f>VLOOKUP(E445,Sheet1!$B$1:$D$41,3,FALSE)</f>
        <v>1177922</v>
      </c>
      <c r="J445">
        <f>VLOOKUP(F445,Sheet1!$B$1:$D$41,3,FALSE)</f>
        <v>3015602</v>
      </c>
    </row>
    <row r="446" spans="1:10" x14ac:dyDescent="0.25">
      <c r="A446">
        <f>A442+1</f>
        <v>26</v>
      </c>
      <c r="B446" s="1" t="s">
        <v>21</v>
      </c>
      <c r="C446" s="1" t="s">
        <v>14</v>
      </c>
      <c r="D446" s="1" t="s">
        <v>39</v>
      </c>
      <c r="E446" t="s">
        <v>28</v>
      </c>
      <c r="F446" t="s">
        <v>23</v>
      </c>
      <c r="G446" t="str">
        <f>VLOOKUP(E446,Sheet1!$B$1:$D$41,2,FALSE)</f>
        <v>Keith</v>
      </c>
      <c r="H446" t="str">
        <f>VLOOKUP(F446,Sheet1!$B$1:$D$41,2,FALSE)</f>
        <v>Simon</v>
      </c>
      <c r="I446">
        <f>VLOOKUP(E446,Sheet1!$B$1:$D$41,3,FALSE)</f>
        <v>3014705</v>
      </c>
      <c r="J446">
        <f>VLOOKUP(F446,Sheet1!$B$1:$D$41,3,FALSE)</f>
        <v>2438184</v>
      </c>
    </row>
    <row r="447" spans="1:10" x14ac:dyDescent="0.25">
      <c r="A447">
        <f>A443+1</f>
        <v>26</v>
      </c>
      <c r="B447" s="1" t="s">
        <v>21</v>
      </c>
      <c r="C447" s="1" t="s">
        <v>14</v>
      </c>
      <c r="D447" s="1" t="s">
        <v>39</v>
      </c>
      <c r="E447" t="s">
        <v>22</v>
      </c>
      <c r="F447" t="s">
        <v>80</v>
      </c>
      <c r="G447" t="str">
        <f>VLOOKUP(E447,Sheet1!$B$1:$D$41,2,FALSE)</f>
        <v>James</v>
      </c>
      <c r="H447" t="str">
        <f>VLOOKUP(F447,Sheet1!$B$1:$D$41,2,FALSE)</f>
        <v>Steven</v>
      </c>
      <c r="I447">
        <f>VLOOKUP(E447,Sheet1!$B$1:$D$41,3,FALSE)</f>
        <v>191239</v>
      </c>
      <c r="J447">
        <f>VLOOKUP(F447,Sheet1!$B$1:$D$41,3,FALSE)</f>
        <v>200257</v>
      </c>
    </row>
    <row r="448" spans="1:10" x14ac:dyDescent="0.25">
      <c r="A448">
        <f>A444+1</f>
        <v>27</v>
      </c>
      <c r="B448" s="1" t="s">
        <v>21</v>
      </c>
      <c r="C448" s="1" t="s">
        <v>14</v>
      </c>
      <c r="D448" s="1" t="s">
        <v>39</v>
      </c>
      <c r="E448" t="s">
        <v>23</v>
      </c>
      <c r="F448" t="s">
        <v>25</v>
      </c>
      <c r="G448" t="str">
        <f>VLOOKUP(E448,Sheet1!$B$1:$D$41,2,FALSE)</f>
        <v>Simon</v>
      </c>
      <c r="H448" t="str">
        <f>VLOOKUP(F448,Sheet1!$B$1:$D$41,2,FALSE)</f>
        <v>Andy</v>
      </c>
      <c r="I448">
        <f>VLOOKUP(E448,Sheet1!$B$1:$D$41,3,FALSE)</f>
        <v>2438184</v>
      </c>
      <c r="J448">
        <f>VLOOKUP(F448,Sheet1!$B$1:$D$41,3,FALSE)</f>
        <v>1106737</v>
      </c>
    </row>
    <row r="449" spans="1:10" x14ac:dyDescent="0.25">
      <c r="A449">
        <f>A445+1</f>
        <v>27</v>
      </c>
      <c r="B449" s="1" t="s">
        <v>21</v>
      </c>
      <c r="C449" s="1" t="s">
        <v>14</v>
      </c>
      <c r="D449" s="1" t="s">
        <v>39</v>
      </c>
      <c r="E449" t="s">
        <v>24</v>
      </c>
      <c r="F449" t="s">
        <v>80</v>
      </c>
      <c r="G449" t="str">
        <f>VLOOKUP(E449,Sheet1!$B$1:$D$41,2,FALSE)</f>
        <v>Gavin</v>
      </c>
      <c r="H449" t="str">
        <f>VLOOKUP(F449,Sheet1!$B$1:$D$41,2,FALSE)</f>
        <v>Steven</v>
      </c>
      <c r="I449">
        <f>VLOOKUP(E449,Sheet1!$B$1:$D$41,3,FALSE)</f>
        <v>3015602</v>
      </c>
      <c r="J449">
        <f>VLOOKUP(F449,Sheet1!$B$1:$D$41,3,FALSE)</f>
        <v>200257</v>
      </c>
    </row>
    <row r="450" spans="1:10" x14ac:dyDescent="0.25">
      <c r="A450">
        <f>A446+1</f>
        <v>27</v>
      </c>
      <c r="B450" s="1" t="s">
        <v>21</v>
      </c>
      <c r="C450" s="1" t="s">
        <v>14</v>
      </c>
      <c r="D450" s="1" t="s">
        <v>39</v>
      </c>
      <c r="E450" t="s">
        <v>26</v>
      </c>
      <c r="F450" t="s">
        <v>22</v>
      </c>
      <c r="G450" t="str">
        <f>VLOOKUP(E450,Sheet1!$B$1:$D$41,2,FALSE)</f>
        <v>Walid</v>
      </c>
      <c r="H450" t="str">
        <f>VLOOKUP(F450,Sheet1!$B$1:$D$41,2,FALSE)</f>
        <v>James</v>
      </c>
      <c r="I450">
        <f>VLOOKUP(E450,Sheet1!$B$1:$D$41,3,FALSE)</f>
        <v>2359578</v>
      </c>
      <c r="J450">
        <f>VLOOKUP(F450,Sheet1!$B$1:$D$41,3,FALSE)</f>
        <v>191239</v>
      </c>
    </row>
    <row r="451" spans="1:10" x14ac:dyDescent="0.25">
      <c r="A451">
        <f>A447+1</f>
        <v>27</v>
      </c>
      <c r="B451" s="1" t="s">
        <v>21</v>
      </c>
      <c r="C451" s="1" t="s">
        <v>14</v>
      </c>
      <c r="D451" s="1" t="s">
        <v>39</v>
      </c>
      <c r="E451" t="s">
        <v>27</v>
      </c>
      <c r="F451" t="s">
        <v>28</v>
      </c>
      <c r="G451" t="str">
        <f>VLOOKUP(E451,Sheet1!$B$1:$D$41,2,FALSE)</f>
        <v>Gordon</v>
      </c>
      <c r="H451" t="str">
        <f>VLOOKUP(F451,Sheet1!$B$1:$D$41,2,FALSE)</f>
        <v>Keith</v>
      </c>
      <c r="I451">
        <f>VLOOKUP(E451,Sheet1!$B$1:$D$41,3,FALSE)</f>
        <v>1177922</v>
      </c>
      <c r="J451">
        <f>VLOOKUP(F451,Sheet1!$B$1:$D$41,3,FALSE)</f>
        <v>3014705</v>
      </c>
    </row>
    <row r="452" spans="1:10" x14ac:dyDescent="0.25">
      <c r="A452">
        <f>A448+1</f>
        <v>28</v>
      </c>
      <c r="B452" s="1" t="s">
        <v>21</v>
      </c>
      <c r="C452" s="1" t="s">
        <v>14</v>
      </c>
      <c r="D452" s="1" t="s">
        <v>39</v>
      </c>
      <c r="E452" t="s">
        <v>25</v>
      </c>
      <c r="F452" t="s">
        <v>27</v>
      </c>
      <c r="G452" t="str">
        <f>VLOOKUP(E452,Sheet1!$B$1:$D$41,2,FALSE)</f>
        <v>Andy</v>
      </c>
      <c r="H452" t="str">
        <f>VLOOKUP(F452,Sheet1!$B$1:$D$41,2,FALSE)</f>
        <v>Gordon</v>
      </c>
      <c r="I452">
        <f>VLOOKUP(E452,Sheet1!$B$1:$D$41,3,FALSE)</f>
        <v>1106737</v>
      </c>
      <c r="J452">
        <f>VLOOKUP(F452,Sheet1!$B$1:$D$41,3,FALSE)</f>
        <v>1177922</v>
      </c>
    </row>
    <row r="453" spans="1:10" x14ac:dyDescent="0.25">
      <c r="A453">
        <f>A449+1</f>
        <v>28</v>
      </c>
      <c r="B453" s="1" t="s">
        <v>21</v>
      </c>
      <c r="C453" s="1" t="s">
        <v>14</v>
      </c>
      <c r="D453" s="1" t="s">
        <v>39</v>
      </c>
      <c r="E453" t="s">
        <v>28</v>
      </c>
      <c r="F453" t="s">
        <v>26</v>
      </c>
      <c r="G453" t="str">
        <f>VLOOKUP(E453,Sheet1!$B$1:$D$41,2,FALSE)</f>
        <v>Keith</v>
      </c>
      <c r="H453" t="str">
        <f>VLOOKUP(F453,Sheet1!$B$1:$D$41,2,FALSE)</f>
        <v>Walid</v>
      </c>
      <c r="I453">
        <f>VLOOKUP(E453,Sheet1!$B$1:$D$41,3,FALSE)</f>
        <v>3014705</v>
      </c>
      <c r="J453">
        <f>VLOOKUP(F453,Sheet1!$B$1:$D$41,3,FALSE)</f>
        <v>2359578</v>
      </c>
    </row>
    <row r="454" spans="1:10" x14ac:dyDescent="0.25">
      <c r="A454">
        <f>A450+1</f>
        <v>28</v>
      </c>
      <c r="B454" s="1" t="s">
        <v>21</v>
      </c>
      <c r="C454" s="1" t="s">
        <v>14</v>
      </c>
      <c r="D454" s="1" t="s">
        <v>39</v>
      </c>
      <c r="E454" t="s">
        <v>22</v>
      </c>
      <c r="F454" t="s">
        <v>24</v>
      </c>
      <c r="G454" t="str">
        <f>VLOOKUP(E454,Sheet1!$B$1:$D$41,2,FALSE)</f>
        <v>James</v>
      </c>
      <c r="H454" t="str">
        <f>VLOOKUP(F454,Sheet1!$B$1:$D$41,2,FALSE)</f>
        <v>Gavin</v>
      </c>
      <c r="I454">
        <f>VLOOKUP(E454,Sheet1!$B$1:$D$41,3,FALSE)</f>
        <v>191239</v>
      </c>
      <c r="J454">
        <f>VLOOKUP(F454,Sheet1!$B$1:$D$41,3,FALSE)</f>
        <v>3015602</v>
      </c>
    </row>
    <row r="455" spans="1:10" x14ac:dyDescent="0.25">
      <c r="A455">
        <f>A451+1</f>
        <v>28</v>
      </c>
      <c r="B455" s="1" t="s">
        <v>21</v>
      </c>
      <c r="C455" s="1" t="s">
        <v>14</v>
      </c>
      <c r="D455" s="1" t="s">
        <v>39</v>
      </c>
      <c r="E455" t="s">
        <v>80</v>
      </c>
      <c r="F455" t="s">
        <v>23</v>
      </c>
      <c r="G455" t="str">
        <f>VLOOKUP(E455,Sheet1!$B$1:$D$41,2,FALSE)</f>
        <v>Steven</v>
      </c>
      <c r="H455" t="str">
        <f>VLOOKUP(F455,Sheet1!$B$1:$D$41,2,FALSE)</f>
        <v>Simon</v>
      </c>
      <c r="I455">
        <f>VLOOKUP(E455,Sheet1!$B$1:$D$41,3,FALSE)</f>
        <v>200257</v>
      </c>
      <c r="J455">
        <f>VLOOKUP(F455,Sheet1!$B$1:$D$41,3,FALSE)</f>
        <v>2438184</v>
      </c>
    </row>
    <row r="456" spans="1:10" x14ac:dyDescent="0.25">
      <c r="A456">
        <f>A452+1</f>
        <v>29</v>
      </c>
      <c r="B456" s="1" t="s">
        <v>21</v>
      </c>
      <c r="C456" s="1" t="s">
        <v>14</v>
      </c>
      <c r="D456" s="1" t="s">
        <v>39</v>
      </c>
      <c r="E456" t="s">
        <v>28</v>
      </c>
      <c r="F456" t="s">
        <v>25</v>
      </c>
      <c r="G456" t="str">
        <f>VLOOKUP(E456,Sheet1!$B$1:$D$41,2,FALSE)</f>
        <v>Keith</v>
      </c>
      <c r="H456" t="str">
        <f>VLOOKUP(F456,Sheet1!$B$1:$D$41,2,FALSE)</f>
        <v>Andy</v>
      </c>
      <c r="I456">
        <f>VLOOKUP(E456,Sheet1!$B$1:$D$41,3,FALSE)</f>
        <v>3014705</v>
      </c>
      <c r="J456">
        <f>VLOOKUP(F456,Sheet1!$B$1:$D$41,3,FALSE)</f>
        <v>1106737</v>
      </c>
    </row>
    <row r="457" spans="1:10" x14ac:dyDescent="0.25">
      <c r="A457">
        <f>A453+1</f>
        <v>29</v>
      </c>
      <c r="B457" s="1" t="s">
        <v>21</v>
      </c>
      <c r="C457" s="1" t="s">
        <v>14</v>
      </c>
      <c r="D457" s="1" t="s">
        <v>39</v>
      </c>
      <c r="E457" t="s">
        <v>22</v>
      </c>
      <c r="F457" t="s">
        <v>27</v>
      </c>
      <c r="G457" t="str">
        <f>VLOOKUP(E457,Sheet1!$B$1:$D$41,2,FALSE)</f>
        <v>James</v>
      </c>
      <c r="H457" t="str">
        <f>VLOOKUP(F457,Sheet1!$B$1:$D$41,2,FALSE)</f>
        <v>Gordon</v>
      </c>
      <c r="I457">
        <f>VLOOKUP(E457,Sheet1!$B$1:$D$41,3,FALSE)</f>
        <v>191239</v>
      </c>
      <c r="J457">
        <f>VLOOKUP(F457,Sheet1!$B$1:$D$41,3,FALSE)</f>
        <v>1177922</v>
      </c>
    </row>
    <row r="458" spans="1:10" x14ac:dyDescent="0.25">
      <c r="A458">
        <f>A454+1</f>
        <v>29</v>
      </c>
      <c r="B458" s="1" t="s">
        <v>21</v>
      </c>
      <c r="C458" s="1" t="s">
        <v>14</v>
      </c>
      <c r="D458" s="1" t="s">
        <v>39</v>
      </c>
      <c r="E458" t="s">
        <v>80</v>
      </c>
      <c r="F458" t="s">
        <v>26</v>
      </c>
      <c r="G458" t="str">
        <f>VLOOKUP(E458,Sheet1!$B$1:$D$41,2,FALSE)</f>
        <v>Steven</v>
      </c>
      <c r="H458" t="str">
        <f>VLOOKUP(F458,Sheet1!$B$1:$D$41,2,FALSE)</f>
        <v>Walid</v>
      </c>
      <c r="I458">
        <f>VLOOKUP(E458,Sheet1!$B$1:$D$41,3,FALSE)</f>
        <v>200257</v>
      </c>
      <c r="J458">
        <f>VLOOKUP(F458,Sheet1!$B$1:$D$41,3,FALSE)</f>
        <v>2359578</v>
      </c>
    </row>
    <row r="459" spans="1:10" x14ac:dyDescent="0.25">
      <c r="A459">
        <f>A455+1</f>
        <v>29</v>
      </c>
      <c r="B459" s="1" t="s">
        <v>21</v>
      </c>
      <c r="C459" s="1" t="s">
        <v>14</v>
      </c>
      <c r="D459" s="1" t="s">
        <v>39</v>
      </c>
      <c r="E459" t="s">
        <v>23</v>
      </c>
      <c r="F459" t="s">
        <v>24</v>
      </c>
      <c r="G459" t="str">
        <f>VLOOKUP(E459,Sheet1!$B$1:$D$41,2,FALSE)</f>
        <v>Simon</v>
      </c>
      <c r="H459" t="str">
        <f>VLOOKUP(F459,Sheet1!$B$1:$D$41,2,FALSE)</f>
        <v>Gavin</v>
      </c>
      <c r="I459">
        <f>VLOOKUP(E459,Sheet1!$B$1:$D$41,3,FALSE)</f>
        <v>2438184</v>
      </c>
      <c r="J459">
        <f>VLOOKUP(F459,Sheet1!$B$1:$D$41,3,FALSE)</f>
        <v>3015602</v>
      </c>
    </row>
    <row r="460" spans="1:10" x14ac:dyDescent="0.25">
      <c r="A460">
        <f>A456+1</f>
        <v>30</v>
      </c>
      <c r="B460" s="1" t="s">
        <v>21</v>
      </c>
      <c r="C460" s="1" t="s">
        <v>14</v>
      </c>
      <c r="D460" s="1" t="s">
        <v>39</v>
      </c>
      <c r="E460" t="s">
        <v>22</v>
      </c>
      <c r="F460" t="s">
        <v>25</v>
      </c>
      <c r="G460" t="str">
        <f>VLOOKUP(E460,Sheet1!$B$1:$D$41,2,FALSE)</f>
        <v>James</v>
      </c>
      <c r="H460" t="str">
        <f>VLOOKUP(F460,Sheet1!$B$1:$D$41,2,FALSE)</f>
        <v>Andy</v>
      </c>
      <c r="I460">
        <f>VLOOKUP(E460,Sheet1!$B$1:$D$41,3,FALSE)</f>
        <v>191239</v>
      </c>
      <c r="J460">
        <f>VLOOKUP(F460,Sheet1!$B$1:$D$41,3,FALSE)</f>
        <v>1106737</v>
      </c>
    </row>
    <row r="461" spans="1:10" x14ac:dyDescent="0.25">
      <c r="A461">
        <f>A457+1</f>
        <v>30</v>
      </c>
      <c r="B461" s="1" t="s">
        <v>21</v>
      </c>
      <c r="C461" s="1" t="s">
        <v>14</v>
      </c>
      <c r="D461" s="1" t="s">
        <v>39</v>
      </c>
      <c r="E461" t="s">
        <v>80</v>
      </c>
      <c r="F461" t="s">
        <v>28</v>
      </c>
      <c r="G461" t="str">
        <f>VLOOKUP(E461,Sheet1!$B$1:$D$41,2,FALSE)</f>
        <v>Steven</v>
      </c>
      <c r="H461" t="str">
        <f>VLOOKUP(F461,Sheet1!$B$1:$D$41,2,FALSE)</f>
        <v>Keith</v>
      </c>
      <c r="I461">
        <f>VLOOKUP(E461,Sheet1!$B$1:$D$41,3,FALSE)</f>
        <v>200257</v>
      </c>
      <c r="J461">
        <f>VLOOKUP(F461,Sheet1!$B$1:$D$41,3,FALSE)</f>
        <v>3014705</v>
      </c>
    </row>
    <row r="462" spans="1:10" x14ac:dyDescent="0.25">
      <c r="A462">
        <f>A458+1</f>
        <v>30</v>
      </c>
      <c r="B462" s="1" t="s">
        <v>21</v>
      </c>
      <c r="C462" s="1" t="s">
        <v>14</v>
      </c>
      <c r="D462" s="1" t="s">
        <v>39</v>
      </c>
      <c r="E462" t="s">
        <v>23</v>
      </c>
      <c r="F462" t="s">
        <v>27</v>
      </c>
      <c r="G462" t="str">
        <f>VLOOKUP(E462,Sheet1!$B$1:$D$41,2,FALSE)</f>
        <v>Simon</v>
      </c>
      <c r="H462" t="str">
        <f>VLOOKUP(F462,Sheet1!$B$1:$D$41,2,FALSE)</f>
        <v>Gordon</v>
      </c>
      <c r="I462">
        <f>VLOOKUP(E462,Sheet1!$B$1:$D$41,3,FALSE)</f>
        <v>2438184</v>
      </c>
      <c r="J462">
        <f>VLOOKUP(F462,Sheet1!$B$1:$D$41,3,FALSE)</f>
        <v>1177922</v>
      </c>
    </row>
    <row r="463" spans="1:10" x14ac:dyDescent="0.25">
      <c r="A463">
        <f>A459+1</f>
        <v>30</v>
      </c>
      <c r="B463" s="1" t="s">
        <v>21</v>
      </c>
      <c r="C463" s="1" t="s">
        <v>14</v>
      </c>
      <c r="D463" s="1" t="s">
        <v>39</v>
      </c>
      <c r="E463" t="s">
        <v>24</v>
      </c>
      <c r="F463" t="s">
        <v>26</v>
      </c>
      <c r="G463" t="str">
        <f>VLOOKUP(E463,Sheet1!$B$1:$D$41,2,FALSE)</f>
        <v>Gavin</v>
      </c>
      <c r="H463" t="str">
        <f>VLOOKUP(F463,Sheet1!$B$1:$D$41,2,FALSE)</f>
        <v>Walid</v>
      </c>
      <c r="I463">
        <f>VLOOKUP(E463,Sheet1!$B$1:$D$41,3,FALSE)</f>
        <v>3015602</v>
      </c>
      <c r="J463">
        <f>VLOOKUP(F463,Sheet1!$B$1:$D$41,3,FALSE)</f>
        <v>2359578</v>
      </c>
    </row>
    <row r="464" spans="1:10" x14ac:dyDescent="0.25">
      <c r="A464">
        <f>A460+1</f>
        <v>31</v>
      </c>
      <c r="B464" s="1" t="s">
        <v>21</v>
      </c>
      <c r="C464" s="1" t="s">
        <v>14</v>
      </c>
      <c r="D464" s="1" t="s">
        <v>39</v>
      </c>
      <c r="E464" t="s">
        <v>25</v>
      </c>
      <c r="F464" t="s">
        <v>24</v>
      </c>
      <c r="G464" t="str">
        <f>VLOOKUP(E464,Sheet1!$B$1:$D$41,2,FALSE)</f>
        <v>Andy</v>
      </c>
      <c r="H464" t="str">
        <f>VLOOKUP(F464,Sheet1!$B$1:$D$41,2,FALSE)</f>
        <v>Gavin</v>
      </c>
      <c r="I464">
        <f>VLOOKUP(E464,Sheet1!$B$1:$D$41,3,FALSE)</f>
        <v>1106737</v>
      </c>
      <c r="J464">
        <f>VLOOKUP(F464,Sheet1!$B$1:$D$41,3,FALSE)</f>
        <v>3015602</v>
      </c>
    </row>
    <row r="465" spans="1:10" x14ac:dyDescent="0.25">
      <c r="A465">
        <f>A461+1</f>
        <v>31</v>
      </c>
      <c r="B465" s="1" t="s">
        <v>21</v>
      </c>
      <c r="C465" s="1" t="s">
        <v>14</v>
      </c>
      <c r="D465" s="1" t="s">
        <v>39</v>
      </c>
      <c r="E465" t="s">
        <v>26</v>
      </c>
      <c r="F465" t="s">
        <v>23</v>
      </c>
      <c r="G465" t="str">
        <f>VLOOKUP(E465,Sheet1!$B$1:$D$41,2,FALSE)</f>
        <v>Walid</v>
      </c>
      <c r="H465" t="str">
        <f>VLOOKUP(F465,Sheet1!$B$1:$D$41,2,FALSE)</f>
        <v>Simon</v>
      </c>
      <c r="I465">
        <f>VLOOKUP(E465,Sheet1!$B$1:$D$41,3,FALSE)</f>
        <v>2359578</v>
      </c>
      <c r="J465">
        <f>VLOOKUP(F465,Sheet1!$B$1:$D$41,3,FALSE)</f>
        <v>2438184</v>
      </c>
    </row>
    <row r="466" spans="1:10" x14ac:dyDescent="0.25">
      <c r="A466">
        <f>A462+1</f>
        <v>31</v>
      </c>
      <c r="B466" s="1" t="s">
        <v>21</v>
      </c>
      <c r="C466" s="1" t="s">
        <v>14</v>
      </c>
      <c r="D466" s="1" t="s">
        <v>39</v>
      </c>
      <c r="E466" t="s">
        <v>27</v>
      </c>
      <c r="F466" t="s">
        <v>80</v>
      </c>
      <c r="G466" t="str">
        <f>VLOOKUP(E466,Sheet1!$B$1:$D$41,2,FALSE)</f>
        <v>Gordon</v>
      </c>
      <c r="H466" t="str">
        <f>VLOOKUP(F466,Sheet1!$B$1:$D$41,2,FALSE)</f>
        <v>Steven</v>
      </c>
      <c r="I466">
        <f>VLOOKUP(E466,Sheet1!$B$1:$D$41,3,FALSE)</f>
        <v>1177922</v>
      </c>
      <c r="J466">
        <f>VLOOKUP(F466,Sheet1!$B$1:$D$41,3,FALSE)</f>
        <v>200257</v>
      </c>
    </row>
    <row r="467" spans="1:10" x14ac:dyDescent="0.25">
      <c r="A467">
        <f>A463+1</f>
        <v>31</v>
      </c>
      <c r="B467" s="1" t="s">
        <v>21</v>
      </c>
      <c r="C467" s="1" t="s">
        <v>14</v>
      </c>
      <c r="D467" s="1" t="s">
        <v>39</v>
      </c>
      <c r="E467" t="s">
        <v>28</v>
      </c>
      <c r="F467" t="s">
        <v>22</v>
      </c>
      <c r="G467" t="str">
        <f>VLOOKUP(E467,Sheet1!$B$1:$D$41,2,FALSE)</f>
        <v>Keith</v>
      </c>
      <c r="H467" t="str">
        <f>VLOOKUP(F467,Sheet1!$B$1:$D$41,2,FALSE)</f>
        <v>James</v>
      </c>
      <c r="I467">
        <f>VLOOKUP(E467,Sheet1!$B$1:$D$41,3,FALSE)</f>
        <v>3014705</v>
      </c>
      <c r="J467">
        <f>VLOOKUP(F467,Sheet1!$B$1:$D$41,3,FALSE)</f>
        <v>191239</v>
      </c>
    </row>
    <row r="468" spans="1:10" x14ac:dyDescent="0.25">
      <c r="A468">
        <f>A464+1</f>
        <v>32</v>
      </c>
      <c r="B468" s="1" t="s">
        <v>21</v>
      </c>
      <c r="C468" s="1" t="s">
        <v>14</v>
      </c>
      <c r="D468" s="1" t="s">
        <v>39</v>
      </c>
      <c r="E468" t="s">
        <v>80</v>
      </c>
      <c r="F468" t="s">
        <v>25</v>
      </c>
      <c r="G468" t="str">
        <f>VLOOKUP(E468,Sheet1!$B$1:$D$41,2,FALSE)</f>
        <v>Steven</v>
      </c>
      <c r="H468" t="str">
        <f>VLOOKUP(F468,Sheet1!$B$1:$D$41,2,FALSE)</f>
        <v>Andy</v>
      </c>
      <c r="I468">
        <f>VLOOKUP(E468,Sheet1!$B$1:$D$41,3,FALSE)</f>
        <v>200257</v>
      </c>
      <c r="J468">
        <f>VLOOKUP(F468,Sheet1!$B$1:$D$41,3,FALSE)</f>
        <v>1106737</v>
      </c>
    </row>
    <row r="469" spans="1:10" x14ac:dyDescent="0.25">
      <c r="A469">
        <f>A465+1</f>
        <v>32</v>
      </c>
      <c r="B469" s="1" t="s">
        <v>21</v>
      </c>
      <c r="C469" s="1" t="s">
        <v>14</v>
      </c>
      <c r="D469" s="1" t="s">
        <v>39</v>
      </c>
      <c r="E469" t="s">
        <v>23</v>
      </c>
      <c r="F469" t="s">
        <v>22</v>
      </c>
      <c r="G469" t="str">
        <f>VLOOKUP(E469,Sheet1!$B$1:$D$41,2,FALSE)</f>
        <v>Simon</v>
      </c>
      <c r="H469" t="str">
        <f>VLOOKUP(F469,Sheet1!$B$1:$D$41,2,FALSE)</f>
        <v>James</v>
      </c>
      <c r="I469">
        <f>VLOOKUP(E469,Sheet1!$B$1:$D$41,3,FALSE)</f>
        <v>2438184</v>
      </c>
      <c r="J469">
        <f>VLOOKUP(F469,Sheet1!$B$1:$D$41,3,FALSE)</f>
        <v>191239</v>
      </c>
    </row>
    <row r="470" spans="1:10" x14ac:dyDescent="0.25">
      <c r="A470">
        <f>A466+1</f>
        <v>32</v>
      </c>
      <c r="B470" s="1" t="s">
        <v>21</v>
      </c>
      <c r="C470" s="1" t="s">
        <v>14</v>
      </c>
      <c r="D470" s="1" t="s">
        <v>39</v>
      </c>
      <c r="E470" t="s">
        <v>24</v>
      </c>
      <c r="F470" t="s">
        <v>28</v>
      </c>
      <c r="G470" t="str">
        <f>VLOOKUP(E470,Sheet1!$B$1:$D$41,2,FALSE)</f>
        <v>Gavin</v>
      </c>
      <c r="H470" t="str">
        <f>VLOOKUP(F470,Sheet1!$B$1:$D$41,2,FALSE)</f>
        <v>Keith</v>
      </c>
      <c r="I470">
        <f>VLOOKUP(E470,Sheet1!$B$1:$D$41,3,FALSE)</f>
        <v>3015602</v>
      </c>
      <c r="J470">
        <f>VLOOKUP(F470,Sheet1!$B$1:$D$41,3,FALSE)</f>
        <v>3014705</v>
      </c>
    </row>
    <row r="471" spans="1:10" x14ac:dyDescent="0.25">
      <c r="A471">
        <f>A467+1</f>
        <v>32</v>
      </c>
      <c r="B471" s="1" t="s">
        <v>21</v>
      </c>
      <c r="C471" s="1" t="s">
        <v>14</v>
      </c>
      <c r="D471" s="1" t="s">
        <v>39</v>
      </c>
      <c r="E471" t="s">
        <v>26</v>
      </c>
      <c r="F471" t="s">
        <v>27</v>
      </c>
      <c r="G471" t="str">
        <f>VLOOKUP(E471,Sheet1!$B$1:$D$41,2,FALSE)</f>
        <v>Walid</v>
      </c>
      <c r="H471" t="str">
        <f>VLOOKUP(F471,Sheet1!$B$1:$D$41,2,FALSE)</f>
        <v>Gordon</v>
      </c>
      <c r="I471">
        <f>VLOOKUP(E471,Sheet1!$B$1:$D$41,3,FALSE)</f>
        <v>2359578</v>
      </c>
      <c r="J471">
        <f>VLOOKUP(F471,Sheet1!$B$1:$D$41,3,FALSE)</f>
        <v>1177922</v>
      </c>
    </row>
    <row r="472" spans="1:10" x14ac:dyDescent="0.25">
      <c r="A472">
        <f>A468+1</f>
        <v>33</v>
      </c>
      <c r="B472" s="1" t="s">
        <v>21</v>
      </c>
      <c r="C472" s="1" t="s">
        <v>14</v>
      </c>
      <c r="D472" s="1" t="s">
        <v>39</v>
      </c>
      <c r="E472" t="s">
        <v>25</v>
      </c>
      <c r="F472" t="s">
        <v>26</v>
      </c>
      <c r="G472" t="str">
        <f>VLOOKUP(E472,Sheet1!$B$1:$D$41,2,FALSE)</f>
        <v>Andy</v>
      </c>
      <c r="H472" t="str">
        <f>VLOOKUP(F472,Sheet1!$B$1:$D$41,2,FALSE)</f>
        <v>Walid</v>
      </c>
      <c r="I472">
        <f>VLOOKUP(E472,Sheet1!$B$1:$D$41,3,FALSE)</f>
        <v>1106737</v>
      </c>
      <c r="J472">
        <f>VLOOKUP(F472,Sheet1!$B$1:$D$41,3,FALSE)</f>
        <v>2359578</v>
      </c>
    </row>
    <row r="473" spans="1:10" x14ac:dyDescent="0.25">
      <c r="A473">
        <f>A469+1</f>
        <v>33</v>
      </c>
      <c r="B473" s="1" t="s">
        <v>21</v>
      </c>
      <c r="C473" s="1" t="s">
        <v>14</v>
      </c>
      <c r="D473" s="1" t="s">
        <v>39</v>
      </c>
      <c r="E473" t="s">
        <v>27</v>
      </c>
      <c r="F473" t="s">
        <v>24</v>
      </c>
      <c r="G473" t="str">
        <f>VLOOKUP(E473,Sheet1!$B$1:$D$41,2,FALSE)</f>
        <v>Gordon</v>
      </c>
      <c r="H473" t="str">
        <f>VLOOKUP(F473,Sheet1!$B$1:$D$41,2,FALSE)</f>
        <v>Gavin</v>
      </c>
      <c r="I473">
        <f>VLOOKUP(E473,Sheet1!$B$1:$D$41,3,FALSE)</f>
        <v>1177922</v>
      </c>
      <c r="J473">
        <f>VLOOKUP(F473,Sheet1!$B$1:$D$41,3,FALSE)</f>
        <v>3015602</v>
      </c>
    </row>
    <row r="474" spans="1:10" x14ac:dyDescent="0.25">
      <c r="A474">
        <f>A470+1</f>
        <v>33</v>
      </c>
      <c r="B474" s="1" t="s">
        <v>21</v>
      </c>
      <c r="C474" s="1" t="s">
        <v>14</v>
      </c>
      <c r="D474" s="1" t="s">
        <v>39</v>
      </c>
      <c r="E474" t="s">
        <v>28</v>
      </c>
      <c r="F474" t="s">
        <v>23</v>
      </c>
      <c r="G474" t="str">
        <f>VLOOKUP(E474,Sheet1!$B$1:$D$41,2,FALSE)</f>
        <v>Keith</v>
      </c>
      <c r="H474" t="str">
        <f>VLOOKUP(F474,Sheet1!$B$1:$D$41,2,FALSE)</f>
        <v>Simon</v>
      </c>
      <c r="I474">
        <f>VLOOKUP(E474,Sheet1!$B$1:$D$41,3,FALSE)</f>
        <v>3014705</v>
      </c>
      <c r="J474">
        <f>VLOOKUP(F474,Sheet1!$B$1:$D$41,3,FALSE)</f>
        <v>2438184</v>
      </c>
    </row>
    <row r="475" spans="1:10" x14ac:dyDescent="0.25">
      <c r="A475">
        <f>A471+1</f>
        <v>33</v>
      </c>
      <c r="B475" s="1" t="s">
        <v>21</v>
      </c>
      <c r="C475" s="1" t="s">
        <v>14</v>
      </c>
      <c r="D475" s="1" t="s">
        <v>39</v>
      </c>
      <c r="E475" t="s">
        <v>22</v>
      </c>
      <c r="F475" t="s">
        <v>80</v>
      </c>
      <c r="G475" t="str">
        <f>VLOOKUP(E475,Sheet1!$B$1:$D$41,2,FALSE)</f>
        <v>James</v>
      </c>
      <c r="H475" t="str">
        <f>VLOOKUP(F475,Sheet1!$B$1:$D$41,2,FALSE)</f>
        <v>Steven</v>
      </c>
      <c r="I475">
        <f>VLOOKUP(E475,Sheet1!$B$1:$D$41,3,FALSE)</f>
        <v>191239</v>
      </c>
      <c r="J475">
        <f>VLOOKUP(F475,Sheet1!$B$1:$D$41,3,FALSE)</f>
        <v>200257</v>
      </c>
    </row>
    <row r="476" spans="1:10" x14ac:dyDescent="0.25">
      <c r="A476">
        <f>A472+1</f>
        <v>34</v>
      </c>
      <c r="B476" s="1" t="s">
        <v>21</v>
      </c>
      <c r="C476" s="1" t="s">
        <v>14</v>
      </c>
      <c r="D476" s="1" t="s">
        <v>39</v>
      </c>
      <c r="E476" t="s">
        <v>23</v>
      </c>
      <c r="F476" t="s">
        <v>25</v>
      </c>
      <c r="G476" t="str">
        <f>VLOOKUP(E476,Sheet1!$B$1:$D$41,2,FALSE)</f>
        <v>Simon</v>
      </c>
      <c r="H476" t="str">
        <f>VLOOKUP(F476,Sheet1!$B$1:$D$41,2,FALSE)</f>
        <v>Andy</v>
      </c>
      <c r="I476">
        <f>VLOOKUP(E476,Sheet1!$B$1:$D$41,3,FALSE)</f>
        <v>2438184</v>
      </c>
      <c r="J476">
        <f>VLOOKUP(F476,Sheet1!$B$1:$D$41,3,FALSE)</f>
        <v>1106737</v>
      </c>
    </row>
    <row r="477" spans="1:10" x14ac:dyDescent="0.25">
      <c r="A477">
        <f>A473+1</f>
        <v>34</v>
      </c>
      <c r="B477" s="1" t="s">
        <v>21</v>
      </c>
      <c r="C477" s="1" t="s">
        <v>14</v>
      </c>
      <c r="D477" s="1" t="s">
        <v>39</v>
      </c>
      <c r="E477" t="s">
        <v>24</v>
      </c>
      <c r="F477" t="s">
        <v>80</v>
      </c>
      <c r="G477" t="str">
        <f>VLOOKUP(E477,Sheet1!$B$1:$D$41,2,FALSE)</f>
        <v>Gavin</v>
      </c>
      <c r="H477" t="str">
        <f>VLOOKUP(F477,Sheet1!$B$1:$D$41,2,FALSE)</f>
        <v>Steven</v>
      </c>
      <c r="I477">
        <f>VLOOKUP(E477,Sheet1!$B$1:$D$41,3,FALSE)</f>
        <v>3015602</v>
      </c>
      <c r="J477">
        <f>VLOOKUP(F477,Sheet1!$B$1:$D$41,3,FALSE)</f>
        <v>200257</v>
      </c>
    </row>
    <row r="478" spans="1:10" x14ac:dyDescent="0.25">
      <c r="A478">
        <f>A474+1</f>
        <v>34</v>
      </c>
      <c r="B478" s="1" t="s">
        <v>21</v>
      </c>
      <c r="C478" s="1" t="s">
        <v>14</v>
      </c>
      <c r="D478" s="1" t="s">
        <v>39</v>
      </c>
      <c r="E478" t="s">
        <v>26</v>
      </c>
      <c r="F478" t="s">
        <v>22</v>
      </c>
      <c r="G478" t="str">
        <f>VLOOKUP(E478,Sheet1!$B$1:$D$41,2,FALSE)</f>
        <v>Walid</v>
      </c>
      <c r="H478" t="str">
        <f>VLOOKUP(F478,Sheet1!$B$1:$D$41,2,FALSE)</f>
        <v>James</v>
      </c>
      <c r="I478">
        <f>VLOOKUP(E478,Sheet1!$B$1:$D$41,3,FALSE)</f>
        <v>2359578</v>
      </c>
      <c r="J478">
        <f>VLOOKUP(F478,Sheet1!$B$1:$D$41,3,FALSE)</f>
        <v>191239</v>
      </c>
    </row>
    <row r="479" spans="1:10" x14ac:dyDescent="0.25">
      <c r="A479">
        <f>A475+1</f>
        <v>34</v>
      </c>
      <c r="B479" s="1" t="s">
        <v>21</v>
      </c>
      <c r="C479" s="1" t="s">
        <v>14</v>
      </c>
      <c r="D479" s="1" t="s">
        <v>39</v>
      </c>
      <c r="E479" t="s">
        <v>27</v>
      </c>
      <c r="F479" t="s">
        <v>28</v>
      </c>
      <c r="G479" t="str">
        <f>VLOOKUP(E479,Sheet1!$B$1:$D$41,2,FALSE)</f>
        <v>Gordon</v>
      </c>
      <c r="H479" t="str">
        <f>VLOOKUP(F479,Sheet1!$B$1:$D$41,2,FALSE)</f>
        <v>Keith</v>
      </c>
      <c r="I479">
        <f>VLOOKUP(E479,Sheet1!$B$1:$D$41,3,FALSE)</f>
        <v>1177922</v>
      </c>
      <c r="J479">
        <f>VLOOKUP(F479,Sheet1!$B$1:$D$41,3,FALSE)</f>
        <v>3014705</v>
      </c>
    </row>
    <row r="480" spans="1:10" x14ac:dyDescent="0.25">
      <c r="A480">
        <f>A476+1</f>
        <v>35</v>
      </c>
      <c r="B480" s="1" t="s">
        <v>21</v>
      </c>
      <c r="C480" s="1" t="s">
        <v>14</v>
      </c>
      <c r="D480" s="1" t="s">
        <v>39</v>
      </c>
      <c r="E480" t="s">
        <v>25</v>
      </c>
      <c r="F480" t="s">
        <v>27</v>
      </c>
      <c r="G480" t="str">
        <f>VLOOKUP(E480,Sheet1!$B$1:$D$41,2,FALSE)</f>
        <v>Andy</v>
      </c>
      <c r="H480" t="str">
        <f>VLOOKUP(F480,Sheet1!$B$1:$D$41,2,FALSE)</f>
        <v>Gordon</v>
      </c>
      <c r="I480">
        <f>VLOOKUP(E480,Sheet1!$B$1:$D$41,3,FALSE)</f>
        <v>1106737</v>
      </c>
      <c r="J480">
        <f>VLOOKUP(F480,Sheet1!$B$1:$D$41,3,FALSE)</f>
        <v>1177922</v>
      </c>
    </row>
    <row r="481" spans="1:10" x14ac:dyDescent="0.25">
      <c r="A481">
        <f>A477+1</f>
        <v>35</v>
      </c>
      <c r="B481" s="1" t="s">
        <v>21</v>
      </c>
      <c r="C481" s="1" t="s">
        <v>14</v>
      </c>
      <c r="D481" s="1" t="s">
        <v>39</v>
      </c>
      <c r="E481" t="s">
        <v>28</v>
      </c>
      <c r="F481" t="s">
        <v>26</v>
      </c>
      <c r="G481" t="str">
        <f>VLOOKUP(E481,Sheet1!$B$1:$D$41,2,FALSE)</f>
        <v>Keith</v>
      </c>
      <c r="H481" t="str">
        <f>VLOOKUP(F481,Sheet1!$B$1:$D$41,2,FALSE)</f>
        <v>Walid</v>
      </c>
      <c r="I481">
        <f>VLOOKUP(E481,Sheet1!$B$1:$D$41,3,FALSE)</f>
        <v>3014705</v>
      </c>
      <c r="J481">
        <f>VLOOKUP(F481,Sheet1!$B$1:$D$41,3,FALSE)</f>
        <v>2359578</v>
      </c>
    </row>
    <row r="482" spans="1:10" x14ac:dyDescent="0.25">
      <c r="A482">
        <f>A478+1</f>
        <v>35</v>
      </c>
      <c r="B482" s="1" t="s">
        <v>21</v>
      </c>
      <c r="C482" s="1" t="s">
        <v>14</v>
      </c>
      <c r="D482" s="1" t="s">
        <v>39</v>
      </c>
      <c r="E482" t="s">
        <v>22</v>
      </c>
      <c r="F482" t="s">
        <v>24</v>
      </c>
      <c r="G482" t="str">
        <f>VLOOKUP(E482,Sheet1!$B$1:$D$41,2,FALSE)</f>
        <v>James</v>
      </c>
      <c r="H482" t="str">
        <f>VLOOKUP(F482,Sheet1!$B$1:$D$41,2,FALSE)</f>
        <v>Gavin</v>
      </c>
      <c r="I482">
        <f>VLOOKUP(E482,Sheet1!$B$1:$D$41,3,FALSE)</f>
        <v>191239</v>
      </c>
      <c r="J482">
        <f>VLOOKUP(F482,Sheet1!$B$1:$D$41,3,FALSE)</f>
        <v>3015602</v>
      </c>
    </row>
    <row r="483" spans="1:10" x14ac:dyDescent="0.25">
      <c r="A483">
        <f>A479+1</f>
        <v>35</v>
      </c>
      <c r="B483" s="1" t="s">
        <v>21</v>
      </c>
      <c r="C483" s="1" t="s">
        <v>14</v>
      </c>
      <c r="D483" s="1" t="s">
        <v>39</v>
      </c>
      <c r="E483" t="s">
        <v>80</v>
      </c>
      <c r="F483" t="s">
        <v>23</v>
      </c>
      <c r="G483" t="str">
        <f>VLOOKUP(E483,Sheet1!$B$1:$D$41,2,FALSE)</f>
        <v>Steven</v>
      </c>
      <c r="H483" t="str">
        <f>VLOOKUP(F483,Sheet1!$B$1:$D$41,2,FALSE)</f>
        <v>Simon</v>
      </c>
      <c r="I483">
        <f>VLOOKUP(E483,Sheet1!$B$1:$D$41,3,FALSE)</f>
        <v>200257</v>
      </c>
      <c r="J483">
        <f>VLOOKUP(F483,Sheet1!$B$1:$D$41,3,FALSE)</f>
        <v>2438184</v>
      </c>
    </row>
    <row r="484" spans="1:10" x14ac:dyDescent="0.25">
      <c r="A484">
        <f>A480+1</f>
        <v>36</v>
      </c>
      <c r="B484" s="1" t="s">
        <v>21</v>
      </c>
      <c r="C484" s="1" t="s">
        <v>14</v>
      </c>
      <c r="D484" s="1" t="s">
        <v>39</v>
      </c>
      <c r="E484" t="s">
        <v>28</v>
      </c>
      <c r="F484" t="s">
        <v>25</v>
      </c>
      <c r="G484" t="str">
        <f>VLOOKUP(E484,Sheet1!$B$1:$D$41,2,FALSE)</f>
        <v>Keith</v>
      </c>
      <c r="H484" t="str">
        <f>VLOOKUP(F484,Sheet1!$B$1:$D$41,2,FALSE)</f>
        <v>Andy</v>
      </c>
      <c r="I484">
        <f>VLOOKUP(E484,Sheet1!$B$1:$D$41,3,FALSE)</f>
        <v>3014705</v>
      </c>
      <c r="J484">
        <f>VLOOKUP(F484,Sheet1!$B$1:$D$41,3,FALSE)</f>
        <v>1106737</v>
      </c>
    </row>
    <row r="485" spans="1:10" x14ac:dyDescent="0.25">
      <c r="A485">
        <f>A481+1</f>
        <v>36</v>
      </c>
      <c r="B485" s="1" t="s">
        <v>21</v>
      </c>
      <c r="C485" s="1" t="s">
        <v>14</v>
      </c>
      <c r="D485" s="1" t="s">
        <v>39</v>
      </c>
      <c r="E485" t="s">
        <v>22</v>
      </c>
      <c r="F485" t="s">
        <v>27</v>
      </c>
      <c r="G485" t="str">
        <f>VLOOKUP(E485,Sheet1!$B$1:$D$41,2,FALSE)</f>
        <v>James</v>
      </c>
      <c r="H485" t="str">
        <f>VLOOKUP(F485,Sheet1!$B$1:$D$41,2,FALSE)</f>
        <v>Gordon</v>
      </c>
      <c r="I485">
        <f>VLOOKUP(E485,Sheet1!$B$1:$D$41,3,FALSE)</f>
        <v>191239</v>
      </c>
      <c r="J485">
        <f>VLOOKUP(F485,Sheet1!$B$1:$D$41,3,FALSE)</f>
        <v>1177922</v>
      </c>
    </row>
    <row r="486" spans="1:10" x14ac:dyDescent="0.25">
      <c r="A486">
        <f>A482+1</f>
        <v>36</v>
      </c>
      <c r="B486" s="1" t="s">
        <v>21</v>
      </c>
      <c r="C486" s="1" t="s">
        <v>14</v>
      </c>
      <c r="D486" s="1" t="s">
        <v>39</v>
      </c>
      <c r="E486" t="s">
        <v>80</v>
      </c>
      <c r="F486" t="s">
        <v>26</v>
      </c>
      <c r="G486" t="str">
        <f>VLOOKUP(E486,Sheet1!$B$1:$D$41,2,FALSE)</f>
        <v>Steven</v>
      </c>
      <c r="H486" t="str">
        <f>VLOOKUP(F486,Sheet1!$B$1:$D$41,2,FALSE)</f>
        <v>Walid</v>
      </c>
      <c r="I486">
        <f>VLOOKUP(E486,Sheet1!$B$1:$D$41,3,FALSE)</f>
        <v>200257</v>
      </c>
      <c r="J486">
        <f>VLOOKUP(F486,Sheet1!$B$1:$D$41,3,FALSE)</f>
        <v>2359578</v>
      </c>
    </row>
    <row r="487" spans="1:10" x14ac:dyDescent="0.25">
      <c r="A487">
        <f>A483+1</f>
        <v>36</v>
      </c>
      <c r="B487" s="1" t="s">
        <v>21</v>
      </c>
      <c r="C487" s="1" t="s">
        <v>14</v>
      </c>
      <c r="D487" s="1" t="s">
        <v>39</v>
      </c>
      <c r="E487" t="s">
        <v>23</v>
      </c>
      <c r="F487" t="s">
        <v>24</v>
      </c>
      <c r="G487" t="str">
        <f>VLOOKUP(E487,Sheet1!$B$1:$D$41,2,FALSE)</f>
        <v>Simon</v>
      </c>
      <c r="H487" t="str">
        <f>VLOOKUP(F487,Sheet1!$B$1:$D$41,2,FALSE)</f>
        <v>Gavin</v>
      </c>
      <c r="I487">
        <f>VLOOKUP(E487,Sheet1!$B$1:$D$41,3,FALSE)</f>
        <v>2438184</v>
      </c>
      <c r="J487">
        <f>VLOOKUP(F487,Sheet1!$B$1:$D$41,3,FALSE)</f>
        <v>3015602</v>
      </c>
    </row>
    <row r="488" spans="1:10" x14ac:dyDescent="0.25">
      <c r="A488">
        <f>A484+1</f>
        <v>37</v>
      </c>
      <c r="B488" s="1" t="s">
        <v>21</v>
      </c>
      <c r="C488" s="1" t="s">
        <v>14</v>
      </c>
      <c r="D488" s="1" t="s">
        <v>40</v>
      </c>
    </row>
    <row r="489" spans="1:10" x14ac:dyDescent="0.25">
      <c r="A489">
        <f>A485+1</f>
        <v>37</v>
      </c>
      <c r="B489" s="1" t="s">
        <v>21</v>
      </c>
      <c r="C489" s="1" t="s">
        <v>14</v>
      </c>
      <c r="D489" s="1" t="s">
        <v>40</v>
      </c>
    </row>
    <row r="490" spans="1:10" x14ac:dyDescent="0.25">
      <c r="A490">
        <f>A486+1</f>
        <v>37</v>
      </c>
      <c r="B490" s="1" t="s">
        <v>21</v>
      </c>
      <c r="C490" s="1" t="s">
        <v>14</v>
      </c>
      <c r="D490" s="1" t="s">
        <v>40</v>
      </c>
    </row>
    <row r="491" spans="1:10" x14ac:dyDescent="0.25">
      <c r="A491">
        <f>A487+1</f>
        <v>37</v>
      </c>
      <c r="B491" s="1" t="s">
        <v>21</v>
      </c>
      <c r="C491" s="1" t="s">
        <v>14</v>
      </c>
      <c r="D491" s="1" t="s">
        <v>40</v>
      </c>
    </row>
    <row r="492" spans="1:10" x14ac:dyDescent="0.25">
      <c r="A492">
        <f>A488+1</f>
        <v>38</v>
      </c>
      <c r="B492" s="1" t="s">
        <v>21</v>
      </c>
      <c r="C492" s="1" t="s">
        <v>14</v>
      </c>
      <c r="D492" s="1" t="s">
        <v>41</v>
      </c>
    </row>
    <row r="493" spans="1:10" x14ac:dyDescent="0.25">
      <c r="A493">
        <f>A489+1</f>
        <v>38</v>
      </c>
      <c r="B493" s="1" t="s">
        <v>21</v>
      </c>
      <c r="C493" s="1" t="s">
        <v>14</v>
      </c>
      <c r="D493" s="1" t="s">
        <v>41</v>
      </c>
    </row>
    <row r="494" spans="1:10" x14ac:dyDescent="0.25">
      <c r="A494">
        <f>A490+1</f>
        <v>38</v>
      </c>
      <c r="B494" s="1" t="s">
        <v>21</v>
      </c>
      <c r="C494" s="1" t="s">
        <v>14</v>
      </c>
      <c r="D494" s="1" t="s">
        <v>42</v>
      </c>
    </row>
    <row r="495" spans="1:10" x14ac:dyDescent="0.25">
      <c r="A495">
        <f>A491+1</f>
        <v>38</v>
      </c>
      <c r="B495" s="1" t="s">
        <v>21</v>
      </c>
      <c r="C495" s="1" t="s">
        <v>14</v>
      </c>
      <c r="D495" s="1" t="s">
        <v>42</v>
      </c>
    </row>
    <row r="496" spans="1:10" x14ac:dyDescent="0.25">
      <c r="A496">
        <f>A492+1</f>
        <v>39</v>
      </c>
      <c r="B496" s="1" t="s">
        <v>21</v>
      </c>
      <c r="C496" s="1" t="s">
        <v>14</v>
      </c>
      <c r="D496" s="1" t="s">
        <v>43</v>
      </c>
    </row>
    <row r="497" spans="1:10" x14ac:dyDescent="0.25">
      <c r="A497">
        <f>A493+1</f>
        <v>39</v>
      </c>
      <c r="B497" s="1" t="s">
        <v>21</v>
      </c>
      <c r="C497" s="1" t="s">
        <v>14</v>
      </c>
      <c r="D497" s="1" t="s">
        <v>46</v>
      </c>
    </row>
    <row r="498" spans="1:10" x14ac:dyDescent="0.25">
      <c r="A498">
        <f>A494+1</f>
        <v>39</v>
      </c>
      <c r="B498" s="1" t="s">
        <v>21</v>
      </c>
      <c r="C498" s="1" t="s">
        <v>14</v>
      </c>
      <c r="D498" s="1" t="s">
        <v>45</v>
      </c>
    </row>
    <row r="499" spans="1:10" x14ac:dyDescent="0.25">
      <c r="A499">
        <f>A495+1</f>
        <v>39</v>
      </c>
      <c r="B499" s="1" t="s">
        <v>21</v>
      </c>
      <c r="C499" s="1" t="s">
        <v>14</v>
      </c>
      <c r="D499" s="1" t="s">
        <v>44</v>
      </c>
    </row>
    <row r="500" spans="1:10" x14ac:dyDescent="0.25">
      <c r="A500">
        <v>1</v>
      </c>
      <c r="B500" s="1" t="s">
        <v>57</v>
      </c>
      <c r="C500" s="1" t="s">
        <v>14</v>
      </c>
      <c r="D500" s="1" t="s">
        <v>39</v>
      </c>
      <c r="E500" t="s">
        <v>51</v>
      </c>
      <c r="F500" t="s">
        <v>59</v>
      </c>
      <c r="G500" t="str">
        <f>VLOOKUP(E500,Sheet1!$B$1:$D$41,2,FALSE)</f>
        <v>Andy</v>
      </c>
      <c r="H500" t="str">
        <f>VLOOKUP(F500,Sheet1!$B$1:$D$41,2,FALSE)</f>
        <v>Gavin</v>
      </c>
      <c r="I500">
        <f>VLOOKUP(E500,Sheet1!$B$1:$D$41,3,FALSE)</f>
        <v>2564951</v>
      </c>
      <c r="J500">
        <f>VLOOKUP(F500,Sheet1!$B$1:$D$41,3,FALSE)</f>
        <v>2957407</v>
      </c>
    </row>
    <row r="501" spans="1:10" x14ac:dyDescent="0.25">
      <c r="A501">
        <v>1</v>
      </c>
      <c r="B501" s="1" t="s">
        <v>57</v>
      </c>
      <c r="C501" s="1" t="s">
        <v>14</v>
      </c>
      <c r="D501" s="1" t="s">
        <v>39</v>
      </c>
      <c r="E501" t="s">
        <v>23</v>
      </c>
      <c r="F501" t="s">
        <v>62</v>
      </c>
      <c r="G501" t="str">
        <f>VLOOKUP(E501,Sheet1!$B$1:$D$41,2,FALSE)</f>
        <v>Simon</v>
      </c>
      <c r="H501" t="str">
        <f>VLOOKUP(F501,Sheet1!$B$1:$D$41,2,FALSE)</f>
        <v>Walid</v>
      </c>
      <c r="I501">
        <f>VLOOKUP(E501,Sheet1!$B$1:$D$41,3,FALSE)</f>
        <v>2438184</v>
      </c>
      <c r="J501">
        <f>VLOOKUP(F501,Sheet1!$B$1:$D$41,3,FALSE)</f>
        <v>2955408</v>
      </c>
    </row>
    <row r="502" spans="1:10" x14ac:dyDescent="0.25">
      <c r="A502">
        <v>1</v>
      </c>
      <c r="B502" s="1" t="s">
        <v>57</v>
      </c>
      <c r="C502" s="1" t="s">
        <v>14</v>
      </c>
      <c r="D502" s="1" t="s">
        <v>39</v>
      </c>
      <c r="E502" t="s">
        <v>27</v>
      </c>
      <c r="F502" t="s">
        <v>61</v>
      </c>
      <c r="G502" t="str">
        <f>VLOOKUP(E502,Sheet1!$B$1:$D$41,2,FALSE)</f>
        <v>Gordon</v>
      </c>
      <c r="H502" t="str">
        <f>VLOOKUP(F502,Sheet1!$B$1:$D$41,2,FALSE)</f>
        <v>James</v>
      </c>
      <c r="I502">
        <f>VLOOKUP(E502,Sheet1!$B$1:$D$41,3,FALSE)</f>
        <v>1177922</v>
      </c>
      <c r="J502">
        <f>VLOOKUP(F502,Sheet1!$B$1:$D$41,3,FALSE)</f>
        <v>646361</v>
      </c>
    </row>
    <row r="503" spans="1:10" x14ac:dyDescent="0.25">
      <c r="A503">
        <v>1</v>
      </c>
      <c r="B503" s="1" t="s">
        <v>57</v>
      </c>
      <c r="C503" s="1" t="s">
        <v>14</v>
      </c>
      <c r="D503" s="1" t="s">
        <v>39</v>
      </c>
      <c r="E503" t="s">
        <v>58</v>
      </c>
      <c r="F503" t="s">
        <v>60</v>
      </c>
      <c r="G503" t="str">
        <f>VLOOKUP(E503,Sheet1!$B$1:$D$41,2,FALSE)</f>
        <v>Steven</v>
      </c>
      <c r="H503" t="str">
        <f>VLOOKUP(F503,Sheet1!$B$1:$D$41,2,FALSE)</f>
        <v>Keith</v>
      </c>
      <c r="I503">
        <f>VLOOKUP(E503,Sheet1!$B$1:$D$41,3,FALSE)</f>
        <v>705479</v>
      </c>
      <c r="J503">
        <f>VLOOKUP(F503,Sheet1!$B$1:$D$41,3,FALSE)</f>
        <v>2955410</v>
      </c>
    </row>
    <row r="504" spans="1:10" x14ac:dyDescent="0.25">
      <c r="A504">
        <f>A500+1</f>
        <v>2</v>
      </c>
      <c r="B504" s="1" t="s">
        <v>57</v>
      </c>
      <c r="C504" s="1" t="s">
        <v>14</v>
      </c>
      <c r="D504" s="1" t="s">
        <v>39</v>
      </c>
      <c r="E504" t="s">
        <v>59</v>
      </c>
      <c r="F504" t="s">
        <v>58</v>
      </c>
      <c r="G504" t="str">
        <f>VLOOKUP(E504,Sheet1!$B$1:$D$41,2,FALSE)</f>
        <v>Gavin</v>
      </c>
      <c r="H504" t="str">
        <f>VLOOKUP(F504,Sheet1!$B$1:$D$41,2,FALSE)</f>
        <v>Steven</v>
      </c>
      <c r="I504">
        <f>VLOOKUP(E504,Sheet1!$B$1:$D$41,3,FALSE)</f>
        <v>2957407</v>
      </c>
      <c r="J504">
        <f>VLOOKUP(F504,Sheet1!$B$1:$D$41,3,FALSE)</f>
        <v>705479</v>
      </c>
    </row>
    <row r="505" spans="1:10" x14ac:dyDescent="0.25">
      <c r="A505">
        <f>A501+1</f>
        <v>2</v>
      </c>
      <c r="B505" s="1" t="s">
        <v>57</v>
      </c>
      <c r="C505" s="1" t="s">
        <v>14</v>
      </c>
      <c r="D505" s="1" t="s">
        <v>39</v>
      </c>
      <c r="E505" t="s">
        <v>60</v>
      </c>
      <c r="F505" t="s">
        <v>27</v>
      </c>
      <c r="G505" t="str">
        <f>VLOOKUP(E505,Sheet1!$B$1:$D$41,2,FALSE)</f>
        <v>Keith</v>
      </c>
      <c r="H505" t="str">
        <f>VLOOKUP(F505,Sheet1!$B$1:$D$41,2,FALSE)</f>
        <v>Gordon</v>
      </c>
      <c r="I505">
        <f>VLOOKUP(E505,Sheet1!$B$1:$D$41,3,FALSE)</f>
        <v>2955410</v>
      </c>
      <c r="J505">
        <f>VLOOKUP(F505,Sheet1!$B$1:$D$41,3,FALSE)</f>
        <v>1177922</v>
      </c>
    </row>
    <row r="506" spans="1:10" x14ac:dyDescent="0.25">
      <c r="A506">
        <f>A502+1</f>
        <v>2</v>
      </c>
      <c r="B506" s="1" t="s">
        <v>57</v>
      </c>
      <c r="C506" s="1" t="s">
        <v>14</v>
      </c>
      <c r="D506" s="1" t="s">
        <v>39</v>
      </c>
      <c r="E506" t="s">
        <v>61</v>
      </c>
      <c r="F506" t="s">
        <v>23</v>
      </c>
      <c r="G506" t="str">
        <f>VLOOKUP(E506,Sheet1!$B$1:$D$41,2,FALSE)</f>
        <v>James</v>
      </c>
      <c r="H506" t="str">
        <f>VLOOKUP(F506,Sheet1!$B$1:$D$41,2,FALSE)</f>
        <v>Simon</v>
      </c>
      <c r="I506">
        <f>VLOOKUP(E506,Sheet1!$B$1:$D$41,3,FALSE)</f>
        <v>646361</v>
      </c>
      <c r="J506">
        <f>VLOOKUP(F506,Sheet1!$B$1:$D$41,3,FALSE)</f>
        <v>2438184</v>
      </c>
    </row>
    <row r="507" spans="1:10" x14ac:dyDescent="0.25">
      <c r="A507">
        <f>A503+1</f>
        <v>2</v>
      </c>
      <c r="B507" s="1" t="s">
        <v>57</v>
      </c>
      <c r="C507" s="1" t="s">
        <v>14</v>
      </c>
      <c r="D507" s="1" t="s">
        <v>39</v>
      </c>
      <c r="E507" t="s">
        <v>62</v>
      </c>
      <c r="F507" t="s">
        <v>51</v>
      </c>
      <c r="G507" t="str">
        <f>VLOOKUP(E507,Sheet1!$B$1:$D$41,2,FALSE)</f>
        <v>Walid</v>
      </c>
      <c r="H507" t="str">
        <f>VLOOKUP(F507,Sheet1!$B$1:$D$41,2,FALSE)</f>
        <v>Andy</v>
      </c>
      <c r="I507">
        <f>VLOOKUP(E507,Sheet1!$B$1:$D$41,3,FALSE)</f>
        <v>2955408</v>
      </c>
      <c r="J507">
        <f>VLOOKUP(F507,Sheet1!$B$1:$D$41,3,FALSE)</f>
        <v>2564951</v>
      </c>
    </row>
    <row r="508" spans="1:10" x14ac:dyDescent="0.25">
      <c r="A508">
        <f>A504+1</f>
        <v>3</v>
      </c>
      <c r="B508" s="1" t="s">
        <v>57</v>
      </c>
      <c r="C508" s="1" t="s">
        <v>14</v>
      </c>
      <c r="D508" s="1" t="s">
        <v>39</v>
      </c>
      <c r="E508" t="s">
        <v>23</v>
      </c>
      <c r="F508" t="s">
        <v>59</v>
      </c>
      <c r="G508" t="str">
        <f>VLOOKUP(E508,Sheet1!$B$1:$D$41,2,FALSE)</f>
        <v>Simon</v>
      </c>
      <c r="H508" t="str">
        <f>VLOOKUP(F508,Sheet1!$B$1:$D$41,2,FALSE)</f>
        <v>Gavin</v>
      </c>
      <c r="I508">
        <f>VLOOKUP(E508,Sheet1!$B$1:$D$41,3,FALSE)</f>
        <v>2438184</v>
      </c>
      <c r="J508">
        <f>VLOOKUP(F508,Sheet1!$B$1:$D$41,3,FALSE)</f>
        <v>2957407</v>
      </c>
    </row>
    <row r="509" spans="1:10" x14ac:dyDescent="0.25">
      <c r="A509">
        <f>A505+1</f>
        <v>3</v>
      </c>
      <c r="B509" s="1" t="s">
        <v>57</v>
      </c>
      <c r="C509" s="1" t="s">
        <v>14</v>
      </c>
      <c r="D509" s="1" t="s">
        <v>39</v>
      </c>
      <c r="E509" t="s">
        <v>27</v>
      </c>
      <c r="F509" t="s">
        <v>51</v>
      </c>
      <c r="G509" t="str">
        <f>VLOOKUP(E509,Sheet1!$B$1:$D$41,2,FALSE)</f>
        <v>Gordon</v>
      </c>
      <c r="H509" t="str">
        <f>VLOOKUP(F509,Sheet1!$B$1:$D$41,2,FALSE)</f>
        <v>Andy</v>
      </c>
      <c r="I509">
        <f>VLOOKUP(E509,Sheet1!$B$1:$D$41,3,FALSE)</f>
        <v>1177922</v>
      </c>
      <c r="J509">
        <f>VLOOKUP(F509,Sheet1!$B$1:$D$41,3,FALSE)</f>
        <v>2564951</v>
      </c>
    </row>
    <row r="510" spans="1:10" x14ac:dyDescent="0.25">
      <c r="A510">
        <f>A506+1</f>
        <v>3</v>
      </c>
      <c r="B510" s="1" t="s">
        <v>57</v>
      </c>
      <c r="C510" s="1" t="s">
        <v>14</v>
      </c>
      <c r="D510" s="1" t="s">
        <v>39</v>
      </c>
      <c r="E510" t="s">
        <v>58</v>
      </c>
      <c r="F510" t="s">
        <v>62</v>
      </c>
      <c r="G510" t="str">
        <f>VLOOKUP(E510,Sheet1!$B$1:$D$41,2,FALSE)</f>
        <v>Steven</v>
      </c>
      <c r="H510" t="str">
        <f>VLOOKUP(F510,Sheet1!$B$1:$D$41,2,FALSE)</f>
        <v>Walid</v>
      </c>
      <c r="I510">
        <f>VLOOKUP(E510,Sheet1!$B$1:$D$41,3,FALSE)</f>
        <v>705479</v>
      </c>
      <c r="J510">
        <f>VLOOKUP(F510,Sheet1!$B$1:$D$41,3,FALSE)</f>
        <v>2955408</v>
      </c>
    </row>
    <row r="511" spans="1:10" x14ac:dyDescent="0.25">
      <c r="A511">
        <f>A507+1</f>
        <v>3</v>
      </c>
      <c r="B511" s="1" t="s">
        <v>57</v>
      </c>
      <c r="C511" s="1" t="s">
        <v>14</v>
      </c>
      <c r="D511" s="1" t="s">
        <v>39</v>
      </c>
      <c r="E511" t="s">
        <v>60</v>
      </c>
      <c r="F511" t="s">
        <v>61</v>
      </c>
      <c r="G511" t="str">
        <f>VLOOKUP(E511,Sheet1!$B$1:$D$41,2,FALSE)</f>
        <v>Keith</v>
      </c>
      <c r="H511" t="str">
        <f>VLOOKUP(F511,Sheet1!$B$1:$D$41,2,FALSE)</f>
        <v>James</v>
      </c>
      <c r="I511">
        <f>VLOOKUP(E511,Sheet1!$B$1:$D$41,3,FALSE)</f>
        <v>2955410</v>
      </c>
      <c r="J511">
        <f>VLOOKUP(F511,Sheet1!$B$1:$D$41,3,FALSE)</f>
        <v>646361</v>
      </c>
    </row>
    <row r="512" spans="1:10" x14ac:dyDescent="0.25">
      <c r="A512">
        <f>A508+1</f>
        <v>4</v>
      </c>
      <c r="B512" s="1" t="s">
        <v>57</v>
      </c>
      <c r="C512" s="1" t="s">
        <v>14</v>
      </c>
      <c r="D512" s="1" t="s">
        <v>39</v>
      </c>
      <c r="E512" t="s">
        <v>59</v>
      </c>
      <c r="F512" t="s">
        <v>60</v>
      </c>
      <c r="G512" t="str">
        <f>VLOOKUP(E512,Sheet1!$B$1:$D$41,2,FALSE)</f>
        <v>Gavin</v>
      </c>
      <c r="H512" t="str">
        <f>VLOOKUP(F512,Sheet1!$B$1:$D$41,2,FALSE)</f>
        <v>Keith</v>
      </c>
      <c r="I512">
        <f>VLOOKUP(E512,Sheet1!$B$1:$D$41,3,FALSE)</f>
        <v>2957407</v>
      </c>
      <c r="J512">
        <f>VLOOKUP(F512,Sheet1!$B$1:$D$41,3,FALSE)</f>
        <v>2955410</v>
      </c>
    </row>
    <row r="513" spans="1:13" x14ac:dyDescent="0.25">
      <c r="A513">
        <f>A509+1</f>
        <v>4</v>
      </c>
      <c r="B513" s="1" t="s">
        <v>57</v>
      </c>
      <c r="C513" s="1" t="s">
        <v>14</v>
      </c>
      <c r="D513" s="1" t="s">
        <v>39</v>
      </c>
      <c r="E513" t="s">
        <v>61</v>
      </c>
      <c r="F513" t="s">
        <v>58</v>
      </c>
      <c r="G513" t="str">
        <f>VLOOKUP(E513,Sheet1!$B$1:$D$41,2,FALSE)</f>
        <v>James</v>
      </c>
      <c r="H513" t="str">
        <f>VLOOKUP(F513,Sheet1!$B$1:$D$41,2,FALSE)</f>
        <v>Steven</v>
      </c>
      <c r="I513">
        <f>VLOOKUP(E513,Sheet1!$B$1:$D$41,3,FALSE)</f>
        <v>646361</v>
      </c>
      <c r="J513">
        <f>VLOOKUP(F513,Sheet1!$B$1:$D$41,3,FALSE)</f>
        <v>705479</v>
      </c>
    </row>
    <row r="514" spans="1:13" x14ac:dyDescent="0.25">
      <c r="A514">
        <f>A510+1</f>
        <v>4</v>
      </c>
      <c r="B514" s="1" t="s">
        <v>57</v>
      </c>
      <c r="C514" s="1" t="s">
        <v>14</v>
      </c>
      <c r="D514" s="1" t="s">
        <v>39</v>
      </c>
      <c r="E514" t="s">
        <v>62</v>
      </c>
      <c r="F514" t="s">
        <v>27</v>
      </c>
      <c r="G514" t="str">
        <f>VLOOKUP(E514,Sheet1!$B$1:$D$41,2,FALSE)</f>
        <v>Walid</v>
      </c>
      <c r="H514" t="str">
        <f>VLOOKUP(F514,Sheet1!$B$1:$D$41,2,FALSE)</f>
        <v>Gordon</v>
      </c>
      <c r="I514">
        <f>VLOOKUP(E514,Sheet1!$B$1:$D$41,3,FALSE)</f>
        <v>2955408</v>
      </c>
      <c r="J514">
        <f>VLOOKUP(F514,Sheet1!$B$1:$D$41,3,FALSE)</f>
        <v>1177922</v>
      </c>
      <c r="M514" s="2"/>
    </row>
    <row r="515" spans="1:13" x14ac:dyDescent="0.25">
      <c r="A515">
        <f>A511+1</f>
        <v>4</v>
      </c>
      <c r="B515" s="1" t="s">
        <v>57</v>
      </c>
      <c r="C515" s="1" t="s">
        <v>14</v>
      </c>
      <c r="D515" s="1" t="s">
        <v>39</v>
      </c>
      <c r="E515" t="s">
        <v>51</v>
      </c>
      <c r="F515" t="s">
        <v>23</v>
      </c>
      <c r="G515" t="str">
        <f>VLOOKUP(E515,Sheet1!$B$1:$D$41,2,FALSE)</f>
        <v>Andy</v>
      </c>
      <c r="H515" t="str">
        <f>VLOOKUP(F515,Sheet1!$B$1:$D$41,2,FALSE)</f>
        <v>Simon</v>
      </c>
      <c r="I515">
        <f>VLOOKUP(E515,Sheet1!$B$1:$D$41,3,FALSE)</f>
        <v>2564951</v>
      </c>
      <c r="J515">
        <f>VLOOKUP(F515,Sheet1!$B$1:$D$41,3,FALSE)</f>
        <v>2438184</v>
      </c>
      <c r="M515" s="2"/>
    </row>
    <row r="516" spans="1:13" x14ac:dyDescent="0.25">
      <c r="A516">
        <f>A512+1</f>
        <v>5</v>
      </c>
      <c r="B516" s="1" t="s">
        <v>57</v>
      </c>
      <c r="C516" s="1" t="s">
        <v>14</v>
      </c>
      <c r="D516" s="1" t="s">
        <v>39</v>
      </c>
      <c r="E516" t="s">
        <v>27</v>
      </c>
      <c r="F516" t="s">
        <v>59</v>
      </c>
      <c r="G516" t="str">
        <f>VLOOKUP(E516,Sheet1!$B$1:$D$41,2,FALSE)</f>
        <v>Gordon</v>
      </c>
      <c r="H516" t="str">
        <f>VLOOKUP(F516,Sheet1!$B$1:$D$41,2,FALSE)</f>
        <v>Gavin</v>
      </c>
      <c r="I516">
        <f>VLOOKUP(E516,Sheet1!$B$1:$D$41,3,FALSE)</f>
        <v>1177922</v>
      </c>
      <c r="J516">
        <f>VLOOKUP(F516,Sheet1!$B$1:$D$41,3,FALSE)</f>
        <v>2957407</v>
      </c>
      <c r="M516" s="2"/>
    </row>
    <row r="517" spans="1:13" x14ac:dyDescent="0.25">
      <c r="A517">
        <f>A513+1</f>
        <v>5</v>
      </c>
      <c r="B517" s="1" t="s">
        <v>57</v>
      </c>
      <c r="C517" s="1" t="s">
        <v>14</v>
      </c>
      <c r="D517" s="1" t="s">
        <v>39</v>
      </c>
      <c r="E517" t="s">
        <v>58</v>
      </c>
      <c r="F517" t="s">
        <v>23</v>
      </c>
      <c r="G517" t="str">
        <f>VLOOKUP(E517,Sheet1!$B$1:$D$41,2,FALSE)</f>
        <v>Steven</v>
      </c>
      <c r="H517" t="str">
        <f>VLOOKUP(F517,Sheet1!$B$1:$D$41,2,FALSE)</f>
        <v>Simon</v>
      </c>
      <c r="I517">
        <f>VLOOKUP(E517,Sheet1!$B$1:$D$41,3,FALSE)</f>
        <v>705479</v>
      </c>
      <c r="J517">
        <f>VLOOKUP(F517,Sheet1!$B$1:$D$41,3,FALSE)</f>
        <v>2438184</v>
      </c>
      <c r="M517" s="2"/>
    </row>
    <row r="518" spans="1:13" x14ac:dyDescent="0.25">
      <c r="A518">
        <f>A514+1</f>
        <v>5</v>
      </c>
      <c r="B518" s="1" t="s">
        <v>57</v>
      </c>
      <c r="C518" s="1" t="s">
        <v>14</v>
      </c>
      <c r="D518" s="1" t="s">
        <v>39</v>
      </c>
      <c r="E518" t="s">
        <v>60</v>
      </c>
      <c r="F518" t="s">
        <v>51</v>
      </c>
      <c r="G518" t="str">
        <f>VLOOKUP(E518,Sheet1!$B$1:$D$41,2,FALSE)</f>
        <v>Keith</v>
      </c>
      <c r="H518" t="str">
        <f>VLOOKUP(F518,Sheet1!$B$1:$D$41,2,FALSE)</f>
        <v>Andy</v>
      </c>
      <c r="I518">
        <f>VLOOKUP(E518,Sheet1!$B$1:$D$41,3,FALSE)</f>
        <v>2955410</v>
      </c>
      <c r="J518">
        <f>VLOOKUP(F518,Sheet1!$B$1:$D$41,3,FALSE)</f>
        <v>2564951</v>
      </c>
      <c r="M518" s="2"/>
    </row>
    <row r="519" spans="1:13" x14ac:dyDescent="0.25">
      <c r="A519">
        <f>A515+1</f>
        <v>5</v>
      </c>
      <c r="B519" s="1" t="s">
        <v>57</v>
      </c>
      <c r="C519" s="1" t="s">
        <v>14</v>
      </c>
      <c r="D519" s="1" t="s">
        <v>39</v>
      </c>
      <c r="E519" t="s">
        <v>61</v>
      </c>
      <c r="F519" t="s">
        <v>62</v>
      </c>
      <c r="G519" t="str">
        <f>VLOOKUP(E519,Sheet1!$B$1:$D$41,2,FALSE)</f>
        <v>James</v>
      </c>
      <c r="H519" t="str">
        <f>VLOOKUP(F519,Sheet1!$B$1:$D$41,2,FALSE)</f>
        <v>Walid</v>
      </c>
      <c r="I519">
        <f>VLOOKUP(E519,Sheet1!$B$1:$D$41,3,FALSE)</f>
        <v>646361</v>
      </c>
      <c r="J519">
        <f>VLOOKUP(F519,Sheet1!$B$1:$D$41,3,FALSE)</f>
        <v>2955408</v>
      </c>
      <c r="M519" s="2"/>
    </row>
    <row r="520" spans="1:13" x14ac:dyDescent="0.25">
      <c r="A520">
        <f>A516+1</f>
        <v>6</v>
      </c>
      <c r="B520" s="1" t="s">
        <v>57</v>
      </c>
      <c r="C520" s="1" t="s">
        <v>14</v>
      </c>
      <c r="D520" s="1" t="s">
        <v>39</v>
      </c>
      <c r="E520" t="s">
        <v>59</v>
      </c>
      <c r="F520" t="s">
        <v>61</v>
      </c>
      <c r="G520" t="str">
        <f>VLOOKUP(E520,Sheet1!$B$1:$D$41,2,FALSE)</f>
        <v>Gavin</v>
      </c>
      <c r="H520" t="str">
        <f>VLOOKUP(F520,Sheet1!$B$1:$D$41,2,FALSE)</f>
        <v>James</v>
      </c>
      <c r="I520">
        <f>VLOOKUP(E520,Sheet1!$B$1:$D$41,3,FALSE)</f>
        <v>2957407</v>
      </c>
      <c r="J520">
        <f>VLOOKUP(F520,Sheet1!$B$1:$D$41,3,FALSE)</f>
        <v>646361</v>
      </c>
      <c r="M520" s="2"/>
    </row>
    <row r="521" spans="1:13" x14ac:dyDescent="0.25">
      <c r="A521">
        <f>A517+1</f>
        <v>6</v>
      </c>
      <c r="B521" s="1" t="s">
        <v>57</v>
      </c>
      <c r="C521" s="1" t="s">
        <v>14</v>
      </c>
      <c r="D521" s="1" t="s">
        <v>39</v>
      </c>
      <c r="E521" t="s">
        <v>62</v>
      </c>
      <c r="F521" t="s">
        <v>60</v>
      </c>
      <c r="G521" t="str">
        <f>VLOOKUP(E521,Sheet1!$B$1:$D$41,2,FALSE)</f>
        <v>Walid</v>
      </c>
      <c r="H521" t="str">
        <f>VLOOKUP(F521,Sheet1!$B$1:$D$41,2,FALSE)</f>
        <v>Keith</v>
      </c>
      <c r="I521">
        <f>VLOOKUP(E521,Sheet1!$B$1:$D$41,3,FALSE)</f>
        <v>2955408</v>
      </c>
      <c r="J521">
        <f>VLOOKUP(F521,Sheet1!$B$1:$D$41,3,FALSE)</f>
        <v>2955410</v>
      </c>
      <c r="M521" s="2"/>
    </row>
    <row r="522" spans="1:13" x14ac:dyDescent="0.25">
      <c r="A522">
        <f>A518+1</f>
        <v>6</v>
      </c>
      <c r="B522" s="1" t="s">
        <v>57</v>
      </c>
      <c r="C522" s="1" t="s">
        <v>14</v>
      </c>
      <c r="D522" s="1" t="s">
        <v>39</v>
      </c>
      <c r="E522" t="s">
        <v>51</v>
      </c>
      <c r="F522" t="s">
        <v>58</v>
      </c>
      <c r="G522" t="str">
        <f>VLOOKUP(E522,Sheet1!$B$1:$D$41,2,FALSE)</f>
        <v>Andy</v>
      </c>
      <c r="H522" t="str">
        <f>VLOOKUP(F522,Sheet1!$B$1:$D$41,2,FALSE)</f>
        <v>Steven</v>
      </c>
      <c r="I522">
        <f>VLOOKUP(E522,Sheet1!$B$1:$D$41,3,FALSE)</f>
        <v>2564951</v>
      </c>
      <c r="J522">
        <f>VLOOKUP(F522,Sheet1!$B$1:$D$41,3,FALSE)</f>
        <v>705479</v>
      </c>
    </row>
    <row r="523" spans="1:13" x14ac:dyDescent="0.25">
      <c r="A523">
        <f>A519+1</f>
        <v>6</v>
      </c>
      <c r="B523" s="1" t="s">
        <v>57</v>
      </c>
      <c r="C523" s="1" t="s">
        <v>14</v>
      </c>
      <c r="D523" s="1" t="s">
        <v>39</v>
      </c>
      <c r="E523" t="s">
        <v>23</v>
      </c>
      <c r="F523" t="s">
        <v>27</v>
      </c>
      <c r="G523" t="str">
        <f>VLOOKUP(E523,Sheet1!$B$1:$D$41,2,FALSE)</f>
        <v>Simon</v>
      </c>
      <c r="H523" t="str">
        <f>VLOOKUP(F523,Sheet1!$B$1:$D$41,2,FALSE)</f>
        <v>Gordon</v>
      </c>
      <c r="I523">
        <f>VLOOKUP(E523,Sheet1!$B$1:$D$41,3,FALSE)</f>
        <v>2438184</v>
      </c>
      <c r="J523">
        <f>VLOOKUP(F523,Sheet1!$B$1:$D$41,3,FALSE)</f>
        <v>1177922</v>
      </c>
    </row>
    <row r="524" spans="1:13" x14ac:dyDescent="0.25">
      <c r="A524">
        <f>A520+1</f>
        <v>7</v>
      </c>
      <c r="B524" s="1" t="s">
        <v>57</v>
      </c>
      <c r="C524" s="1" t="s">
        <v>14</v>
      </c>
      <c r="D524" s="1" t="s">
        <v>39</v>
      </c>
      <c r="E524" t="s">
        <v>62</v>
      </c>
      <c r="F524" t="s">
        <v>59</v>
      </c>
      <c r="G524" t="str">
        <f>VLOOKUP(E524,Sheet1!$B$1:$D$41,2,FALSE)</f>
        <v>Walid</v>
      </c>
      <c r="H524" t="str">
        <f>VLOOKUP(F524,Sheet1!$B$1:$D$41,2,FALSE)</f>
        <v>Gavin</v>
      </c>
      <c r="I524">
        <f>VLOOKUP(E524,Sheet1!$B$1:$D$41,3,FALSE)</f>
        <v>2955408</v>
      </c>
      <c r="J524">
        <f>VLOOKUP(F524,Sheet1!$B$1:$D$41,3,FALSE)</f>
        <v>2957407</v>
      </c>
    </row>
    <row r="525" spans="1:13" x14ac:dyDescent="0.25">
      <c r="A525">
        <f>A521+1</f>
        <v>7</v>
      </c>
      <c r="B525" s="1" t="s">
        <v>57</v>
      </c>
      <c r="C525" s="1" t="s">
        <v>14</v>
      </c>
      <c r="D525" s="1" t="s">
        <v>39</v>
      </c>
      <c r="E525" t="s">
        <v>51</v>
      </c>
      <c r="F525" t="s">
        <v>61</v>
      </c>
      <c r="G525" t="str">
        <f>VLOOKUP(E525,Sheet1!$B$1:$D$41,2,FALSE)</f>
        <v>Andy</v>
      </c>
      <c r="H525" t="str">
        <f>VLOOKUP(F525,Sheet1!$B$1:$D$41,2,FALSE)</f>
        <v>James</v>
      </c>
      <c r="I525">
        <f>VLOOKUP(E525,Sheet1!$B$1:$D$41,3,FALSE)</f>
        <v>2564951</v>
      </c>
      <c r="J525">
        <f>VLOOKUP(F525,Sheet1!$B$1:$D$41,3,FALSE)</f>
        <v>646361</v>
      </c>
    </row>
    <row r="526" spans="1:13" x14ac:dyDescent="0.25">
      <c r="A526">
        <f>A522+1</f>
        <v>7</v>
      </c>
      <c r="B526" s="1" t="s">
        <v>57</v>
      </c>
      <c r="C526" s="1" t="s">
        <v>14</v>
      </c>
      <c r="D526" s="1" t="s">
        <v>39</v>
      </c>
      <c r="E526" t="s">
        <v>23</v>
      </c>
      <c r="F526" t="s">
        <v>60</v>
      </c>
      <c r="G526" t="str">
        <f>VLOOKUP(E526,Sheet1!$B$1:$D$41,2,FALSE)</f>
        <v>Simon</v>
      </c>
      <c r="H526" t="str">
        <f>VLOOKUP(F526,Sheet1!$B$1:$D$41,2,FALSE)</f>
        <v>Keith</v>
      </c>
      <c r="I526">
        <f>VLOOKUP(E526,Sheet1!$B$1:$D$41,3,FALSE)</f>
        <v>2438184</v>
      </c>
      <c r="J526">
        <f>VLOOKUP(F526,Sheet1!$B$1:$D$41,3,FALSE)</f>
        <v>2955410</v>
      </c>
    </row>
    <row r="527" spans="1:13" x14ac:dyDescent="0.25">
      <c r="A527">
        <f>A523+1</f>
        <v>7</v>
      </c>
      <c r="B527" s="1" t="s">
        <v>57</v>
      </c>
      <c r="C527" s="1" t="s">
        <v>14</v>
      </c>
      <c r="D527" s="1" t="s">
        <v>39</v>
      </c>
      <c r="E527" t="s">
        <v>27</v>
      </c>
      <c r="F527" t="s">
        <v>58</v>
      </c>
      <c r="G527" t="str">
        <f>VLOOKUP(E527,Sheet1!$B$1:$D$41,2,FALSE)</f>
        <v>Gordon</v>
      </c>
      <c r="H527" t="str">
        <f>VLOOKUP(F527,Sheet1!$B$1:$D$41,2,FALSE)</f>
        <v>Steven</v>
      </c>
      <c r="I527">
        <f>VLOOKUP(E527,Sheet1!$B$1:$D$41,3,FALSE)</f>
        <v>1177922</v>
      </c>
      <c r="J527">
        <f>VLOOKUP(F527,Sheet1!$B$1:$D$41,3,FALSE)</f>
        <v>705479</v>
      </c>
    </row>
    <row r="528" spans="1:13" x14ac:dyDescent="0.25">
      <c r="A528">
        <f>A524+1</f>
        <v>8</v>
      </c>
      <c r="B528" s="1" t="s">
        <v>57</v>
      </c>
      <c r="C528" s="1" t="s">
        <v>14</v>
      </c>
      <c r="D528" s="1" t="s">
        <v>39</v>
      </c>
      <c r="E528" t="s">
        <v>51</v>
      </c>
      <c r="F528" t="s">
        <v>59</v>
      </c>
      <c r="G528" t="str">
        <f>VLOOKUP(E528,Sheet1!$B$1:$D$41,2,FALSE)</f>
        <v>Andy</v>
      </c>
      <c r="H528" t="str">
        <f>VLOOKUP(F528,Sheet1!$B$1:$D$41,2,FALSE)</f>
        <v>Gavin</v>
      </c>
      <c r="I528">
        <f>VLOOKUP(E528,Sheet1!$B$1:$D$41,3,FALSE)</f>
        <v>2564951</v>
      </c>
      <c r="J528">
        <f>VLOOKUP(F528,Sheet1!$B$1:$D$41,3,FALSE)</f>
        <v>2957407</v>
      </c>
    </row>
    <row r="529" spans="1:10" x14ac:dyDescent="0.25">
      <c r="A529">
        <f>A525+1</f>
        <v>8</v>
      </c>
      <c r="B529" s="1" t="s">
        <v>57</v>
      </c>
      <c r="C529" s="1" t="s">
        <v>14</v>
      </c>
      <c r="D529" s="1" t="s">
        <v>39</v>
      </c>
      <c r="E529" t="s">
        <v>23</v>
      </c>
      <c r="F529" t="s">
        <v>62</v>
      </c>
      <c r="G529" t="str">
        <f>VLOOKUP(E529,Sheet1!$B$1:$D$41,2,FALSE)</f>
        <v>Simon</v>
      </c>
      <c r="H529" t="str">
        <f>VLOOKUP(F529,Sheet1!$B$1:$D$41,2,FALSE)</f>
        <v>Walid</v>
      </c>
      <c r="I529">
        <f>VLOOKUP(E529,Sheet1!$B$1:$D$41,3,FALSE)</f>
        <v>2438184</v>
      </c>
      <c r="J529">
        <f>VLOOKUP(F529,Sheet1!$B$1:$D$41,3,FALSE)</f>
        <v>2955408</v>
      </c>
    </row>
    <row r="530" spans="1:10" x14ac:dyDescent="0.25">
      <c r="A530">
        <f>A526+1</f>
        <v>8</v>
      </c>
      <c r="B530" s="1" t="s">
        <v>57</v>
      </c>
      <c r="C530" s="1" t="s">
        <v>14</v>
      </c>
      <c r="D530" s="1" t="s">
        <v>39</v>
      </c>
      <c r="E530" t="s">
        <v>27</v>
      </c>
      <c r="F530" t="s">
        <v>61</v>
      </c>
      <c r="G530" t="str">
        <f>VLOOKUP(E530,Sheet1!$B$1:$D$41,2,FALSE)</f>
        <v>Gordon</v>
      </c>
      <c r="H530" t="str">
        <f>VLOOKUP(F530,Sheet1!$B$1:$D$41,2,FALSE)</f>
        <v>James</v>
      </c>
      <c r="I530">
        <f>VLOOKUP(E530,Sheet1!$B$1:$D$41,3,FALSE)</f>
        <v>1177922</v>
      </c>
      <c r="J530">
        <f>VLOOKUP(F530,Sheet1!$B$1:$D$41,3,FALSE)</f>
        <v>646361</v>
      </c>
    </row>
    <row r="531" spans="1:10" x14ac:dyDescent="0.25">
      <c r="A531">
        <f>A527+1</f>
        <v>8</v>
      </c>
      <c r="B531" s="1" t="s">
        <v>57</v>
      </c>
      <c r="C531" s="1" t="s">
        <v>14</v>
      </c>
      <c r="D531" s="1" t="s">
        <v>39</v>
      </c>
      <c r="E531" t="s">
        <v>58</v>
      </c>
      <c r="F531" t="s">
        <v>60</v>
      </c>
      <c r="G531" t="str">
        <f>VLOOKUP(E531,Sheet1!$B$1:$D$41,2,FALSE)</f>
        <v>Steven</v>
      </c>
      <c r="H531" t="str">
        <f>VLOOKUP(F531,Sheet1!$B$1:$D$41,2,FALSE)</f>
        <v>Keith</v>
      </c>
      <c r="I531">
        <f>VLOOKUP(E531,Sheet1!$B$1:$D$41,3,FALSE)</f>
        <v>705479</v>
      </c>
      <c r="J531">
        <f>VLOOKUP(F531,Sheet1!$B$1:$D$41,3,FALSE)</f>
        <v>2955410</v>
      </c>
    </row>
    <row r="532" spans="1:10" x14ac:dyDescent="0.25">
      <c r="A532">
        <f>A528+1</f>
        <v>9</v>
      </c>
      <c r="B532" s="1" t="s">
        <v>57</v>
      </c>
      <c r="C532" s="1" t="s">
        <v>14</v>
      </c>
      <c r="D532" s="1" t="s">
        <v>39</v>
      </c>
      <c r="E532" t="s">
        <v>59</v>
      </c>
      <c r="F532" t="s">
        <v>58</v>
      </c>
      <c r="G532" t="str">
        <f>VLOOKUP(E532,Sheet1!$B$1:$D$41,2,FALSE)</f>
        <v>Gavin</v>
      </c>
      <c r="H532" t="str">
        <f>VLOOKUP(F532,Sheet1!$B$1:$D$41,2,FALSE)</f>
        <v>Steven</v>
      </c>
      <c r="I532">
        <f>VLOOKUP(E532,Sheet1!$B$1:$D$41,3,FALSE)</f>
        <v>2957407</v>
      </c>
      <c r="J532">
        <f>VLOOKUP(F532,Sheet1!$B$1:$D$41,3,FALSE)</f>
        <v>705479</v>
      </c>
    </row>
    <row r="533" spans="1:10" x14ac:dyDescent="0.25">
      <c r="A533">
        <f>A529+1</f>
        <v>9</v>
      </c>
      <c r="B533" s="1" t="s">
        <v>57</v>
      </c>
      <c r="C533" s="1" t="s">
        <v>14</v>
      </c>
      <c r="D533" s="1" t="s">
        <v>39</v>
      </c>
      <c r="E533" t="s">
        <v>60</v>
      </c>
      <c r="F533" t="s">
        <v>27</v>
      </c>
      <c r="G533" t="str">
        <f>VLOOKUP(E533,Sheet1!$B$1:$D$41,2,FALSE)</f>
        <v>Keith</v>
      </c>
      <c r="H533" t="str">
        <f>VLOOKUP(F533,Sheet1!$B$1:$D$41,2,FALSE)</f>
        <v>Gordon</v>
      </c>
      <c r="I533">
        <f>VLOOKUP(E533,Sheet1!$B$1:$D$41,3,FALSE)</f>
        <v>2955410</v>
      </c>
      <c r="J533">
        <f>VLOOKUP(F533,Sheet1!$B$1:$D$41,3,FALSE)</f>
        <v>1177922</v>
      </c>
    </row>
    <row r="534" spans="1:10" x14ac:dyDescent="0.25">
      <c r="A534">
        <f>A530+1</f>
        <v>9</v>
      </c>
      <c r="B534" s="1" t="s">
        <v>57</v>
      </c>
      <c r="C534" s="1" t="s">
        <v>14</v>
      </c>
      <c r="D534" s="1" t="s">
        <v>39</v>
      </c>
      <c r="E534" t="s">
        <v>61</v>
      </c>
      <c r="F534" t="s">
        <v>23</v>
      </c>
      <c r="G534" t="str">
        <f>VLOOKUP(E534,Sheet1!$B$1:$D$41,2,FALSE)</f>
        <v>James</v>
      </c>
      <c r="H534" t="str">
        <f>VLOOKUP(F534,Sheet1!$B$1:$D$41,2,FALSE)</f>
        <v>Simon</v>
      </c>
      <c r="I534">
        <f>VLOOKUP(E534,Sheet1!$B$1:$D$41,3,FALSE)</f>
        <v>646361</v>
      </c>
      <c r="J534">
        <f>VLOOKUP(F534,Sheet1!$B$1:$D$41,3,FALSE)</f>
        <v>2438184</v>
      </c>
    </row>
    <row r="535" spans="1:10" x14ac:dyDescent="0.25">
      <c r="A535">
        <f>A531+1</f>
        <v>9</v>
      </c>
      <c r="B535" s="1" t="s">
        <v>57</v>
      </c>
      <c r="C535" s="1" t="s">
        <v>14</v>
      </c>
      <c r="D535" s="1" t="s">
        <v>39</v>
      </c>
      <c r="E535" t="s">
        <v>62</v>
      </c>
      <c r="F535" t="s">
        <v>51</v>
      </c>
      <c r="G535" t="str">
        <f>VLOOKUP(E535,Sheet1!$B$1:$D$41,2,FALSE)</f>
        <v>Walid</v>
      </c>
      <c r="H535" t="str">
        <f>VLOOKUP(F535,Sheet1!$B$1:$D$41,2,FALSE)</f>
        <v>Andy</v>
      </c>
      <c r="I535">
        <f>VLOOKUP(E535,Sheet1!$B$1:$D$41,3,FALSE)</f>
        <v>2955408</v>
      </c>
      <c r="J535">
        <f>VLOOKUP(F535,Sheet1!$B$1:$D$41,3,FALSE)</f>
        <v>2564951</v>
      </c>
    </row>
    <row r="536" spans="1:10" x14ac:dyDescent="0.25">
      <c r="A536">
        <f>A532+1</f>
        <v>10</v>
      </c>
      <c r="B536" s="1" t="s">
        <v>57</v>
      </c>
      <c r="C536" s="1" t="s">
        <v>14</v>
      </c>
      <c r="D536" s="1" t="s">
        <v>39</v>
      </c>
      <c r="E536" t="s">
        <v>23</v>
      </c>
      <c r="F536" t="s">
        <v>59</v>
      </c>
      <c r="G536" t="str">
        <f>VLOOKUP(E536,Sheet1!$B$1:$D$41,2,FALSE)</f>
        <v>Simon</v>
      </c>
      <c r="H536" t="str">
        <f>VLOOKUP(F536,Sheet1!$B$1:$D$41,2,FALSE)</f>
        <v>Gavin</v>
      </c>
      <c r="I536">
        <f>VLOOKUP(E536,Sheet1!$B$1:$D$41,3,FALSE)</f>
        <v>2438184</v>
      </c>
      <c r="J536">
        <f>VLOOKUP(F536,Sheet1!$B$1:$D$41,3,FALSE)</f>
        <v>2957407</v>
      </c>
    </row>
    <row r="537" spans="1:10" x14ac:dyDescent="0.25">
      <c r="A537">
        <f>A533+1</f>
        <v>10</v>
      </c>
      <c r="B537" s="1" t="s">
        <v>57</v>
      </c>
      <c r="C537" s="1" t="s">
        <v>14</v>
      </c>
      <c r="D537" s="1" t="s">
        <v>39</v>
      </c>
      <c r="E537" t="s">
        <v>27</v>
      </c>
      <c r="F537" t="s">
        <v>51</v>
      </c>
      <c r="G537" t="str">
        <f>VLOOKUP(E537,Sheet1!$B$1:$D$41,2,FALSE)</f>
        <v>Gordon</v>
      </c>
      <c r="H537" t="str">
        <f>VLOOKUP(F537,Sheet1!$B$1:$D$41,2,FALSE)</f>
        <v>Andy</v>
      </c>
      <c r="I537">
        <f>VLOOKUP(E537,Sheet1!$B$1:$D$41,3,FALSE)</f>
        <v>1177922</v>
      </c>
      <c r="J537">
        <f>VLOOKUP(F537,Sheet1!$B$1:$D$41,3,FALSE)</f>
        <v>2564951</v>
      </c>
    </row>
    <row r="538" spans="1:10" x14ac:dyDescent="0.25">
      <c r="A538">
        <f>A534+1</f>
        <v>10</v>
      </c>
      <c r="B538" s="1" t="s">
        <v>57</v>
      </c>
      <c r="C538" s="1" t="s">
        <v>14</v>
      </c>
      <c r="D538" s="1" t="s">
        <v>39</v>
      </c>
      <c r="E538" t="s">
        <v>58</v>
      </c>
      <c r="F538" t="s">
        <v>62</v>
      </c>
      <c r="G538" t="str">
        <f>VLOOKUP(E538,Sheet1!$B$1:$D$41,2,FALSE)</f>
        <v>Steven</v>
      </c>
      <c r="H538" t="str">
        <f>VLOOKUP(F538,Sheet1!$B$1:$D$41,2,FALSE)</f>
        <v>Walid</v>
      </c>
      <c r="I538">
        <f>VLOOKUP(E538,Sheet1!$B$1:$D$41,3,FALSE)</f>
        <v>705479</v>
      </c>
      <c r="J538">
        <f>VLOOKUP(F538,Sheet1!$B$1:$D$41,3,FALSE)</f>
        <v>2955408</v>
      </c>
    </row>
    <row r="539" spans="1:10" x14ac:dyDescent="0.25">
      <c r="A539">
        <f>A535+1</f>
        <v>10</v>
      </c>
      <c r="B539" s="1" t="s">
        <v>57</v>
      </c>
      <c r="C539" s="1" t="s">
        <v>14</v>
      </c>
      <c r="D539" s="1" t="s">
        <v>39</v>
      </c>
      <c r="E539" t="s">
        <v>60</v>
      </c>
      <c r="F539" t="s">
        <v>61</v>
      </c>
      <c r="G539" t="str">
        <f>VLOOKUP(E539,Sheet1!$B$1:$D$41,2,FALSE)</f>
        <v>Keith</v>
      </c>
      <c r="H539" t="str">
        <f>VLOOKUP(F539,Sheet1!$B$1:$D$41,2,FALSE)</f>
        <v>James</v>
      </c>
      <c r="I539">
        <f>VLOOKUP(E539,Sheet1!$B$1:$D$41,3,FALSE)</f>
        <v>2955410</v>
      </c>
      <c r="J539">
        <f>VLOOKUP(F539,Sheet1!$B$1:$D$41,3,FALSE)</f>
        <v>646361</v>
      </c>
    </row>
    <row r="540" spans="1:10" x14ac:dyDescent="0.25">
      <c r="A540">
        <f>A536+1</f>
        <v>11</v>
      </c>
      <c r="B540" s="1" t="s">
        <v>57</v>
      </c>
      <c r="C540" s="1" t="s">
        <v>14</v>
      </c>
      <c r="D540" s="1" t="s">
        <v>39</v>
      </c>
      <c r="E540" t="s">
        <v>59</v>
      </c>
      <c r="F540" t="s">
        <v>60</v>
      </c>
      <c r="G540" t="str">
        <f>VLOOKUP(E540,Sheet1!$B$1:$D$41,2,FALSE)</f>
        <v>Gavin</v>
      </c>
      <c r="H540" t="str">
        <f>VLOOKUP(F540,Sheet1!$B$1:$D$41,2,FALSE)</f>
        <v>Keith</v>
      </c>
      <c r="I540">
        <f>VLOOKUP(E540,Sheet1!$B$1:$D$41,3,FALSE)</f>
        <v>2957407</v>
      </c>
      <c r="J540">
        <f>VLOOKUP(F540,Sheet1!$B$1:$D$41,3,FALSE)</f>
        <v>2955410</v>
      </c>
    </row>
    <row r="541" spans="1:10" x14ac:dyDescent="0.25">
      <c r="A541">
        <f>A537+1</f>
        <v>11</v>
      </c>
      <c r="B541" s="1" t="s">
        <v>57</v>
      </c>
      <c r="C541" s="1" t="s">
        <v>14</v>
      </c>
      <c r="D541" s="1" t="s">
        <v>39</v>
      </c>
      <c r="E541" t="s">
        <v>61</v>
      </c>
      <c r="F541" t="s">
        <v>58</v>
      </c>
      <c r="G541" t="str">
        <f>VLOOKUP(E541,Sheet1!$B$1:$D$41,2,FALSE)</f>
        <v>James</v>
      </c>
      <c r="H541" t="str">
        <f>VLOOKUP(F541,Sheet1!$B$1:$D$41,2,FALSE)</f>
        <v>Steven</v>
      </c>
      <c r="I541">
        <f>VLOOKUP(E541,Sheet1!$B$1:$D$41,3,FALSE)</f>
        <v>646361</v>
      </c>
      <c r="J541">
        <f>VLOOKUP(F541,Sheet1!$B$1:$D$41,3,FALSE)</f>
        <v>705479</v>
      </c>
    </row>
    <row r="542" spans="1:10" x14ac:dyDescent="0.25">
      <c r="A542">
        <f>A538+1</f>
        <v>11</v>
      </c>
      <c r="B542" s="1" t="s">
        <v>57</v>
      </c>
      <c r="C542" s="1" t="s">
        <v>14</v>
      </c>
      <c r="D542" s="1" t="s">
        <v>39</v>
      </c>
      <c r="E542" t="s">
        <v>62</v>
      </c>
      <c r="F542" t="s">
        <v>27</v>
      </c>
      <c r="G542" t="str">
        <f>VLOOKUP(E542,Sheet1!$B$1:$D$41,2,FALSE)</f>
        <v>Walid</v>
      </c>
      <c r="H542" t="str">
        <f>VLOOKUP(F542,Sheet1!$B$1:$D$41,2,FALSE)</f>
        <v>Gordon</v>
      </c>
      <c r="I542">
        <f>VLOOKUP(E542,Sheet1!$B$1:$D$41,3,FALSE)</f>
        <v>2955408</v>
      </c>
      <c r="J542">
        <f>VLOOKUP(F542,Sheet1!$B$1:$D$41,3,FALSE)</f>
        <v>1177922</v>
      </c>
    </row>
    <row r="543" spans="1:10" x14ac:dyDescent="0.25">
      <c r="A543">
        <f>A539+1</f>
        <v>11</v>
      </c>
      <c r="B543" s="1" t="s">
        <v>57</v>
      </c>
      <c r="C543" s="1" t="s">
        <v>14</v>
      </c>
      <c r="D543" s="1" t="s">
        <v>39</v>
      </c>
      <c r="E543" t="s">
        <v>51</v>
      </c>
      <c r="F543" t="s">
        <v>23</v>
      </c>
      <c r="G543" t="str">
        <f>VLOOKUP(E543,Sheet1!$B$1:$D$41,2,FALSE)</f>
        <v>Andy</v>
      </c>
      <c r="H543" t="str">
        <f>VLOOKUP(F543,Sheet1!$B$1:$D$41,2,FALSE)</f>
        <v>Simon</v>
      </c>
      <c r="I543">
        <f>VLOOKUP(E543,Sheet1!$B$1:$D$41,3,FALSE)</f>
        <v>2564951</v>
      </c>
      <c r="J543">
        <f>VLOOKUP(F543,Sheet1!$B$1:$D$41,3,FALSE)</f>
        <v>2438184</v>
      </c>
    </row>
    <row r="544" spans="1:10" x14ac:dyDescent="0.25">
      <c r="A544">
        <f>A540+1</f>
        <v>12</v>
      </c>
      <c r="B544" s="1" t="s">
        <v>57</v>
      </c>
      <c r="C544" s="1" t="s">
        <v>14</v>
      </c>
      <c r="D544" s="1" t="s">
        <v>39</v>
      </c>
      <c r="E544" t="s">
        <v>27</v>
      </c>
      <c r="F544" t="s">
        <v>59</v>
      </c>
      <c r="G544" t="str">
        <f>VLOOKUP(E544,Sheet1!$B$1:$D$41,2,FALSE)</f>
        <v>Gordon</v>
      </c>
      <c r="H544" t="str">
        <f>VLOOKUP(F544,Sheet1!$B$1:$D$41,2,FALSE)</f>
        <v>Gavin</v>
      </c>
      <c r="I544">
        <f>VLOOKUP(E544,Sheet1!$B$1:$D$41,3,FALSE)</f>
        <v>1177922</v>
      </c>
      <c r="J544">
        <f>VLOOKUP(F544,Sheet1!$B$1:$D$41,3,FALSE)</f>
        <v>2957407</v>
      </c>
    </row>
    <row r="545" spans="1:10" x14ac:dyDescent="0.25">
      <c r="A545">
        <f>A541+1</f>
        <v>12</v>
      </c>
      <c r="B545" s="1" t="s">
        <v>57</v>
      </c>
      <c r="C545" s="1" t="s">
        <v>14</v>
      </c>
      <c r="D545" s="1" t="s">
        <v>39</v>
      </c>
      <c r="E545" t="s">
        <v>58</v>
      </c>
      <c r="F545" t="s">
        <v>23</v>
      </c>
      <c r="G545" t="str">
        <f>VLOOKUP(E545,Sheet1!$B$1:$D$41,2,FALSE)</f>
        <v>Steven</v>
      </c>
      <c r="H545" t="str">
        <f>VLOOKUP(F545,Sheet1!$B$1:$D$41,2,FALSE)</f>
        <v>Simon</v>
      </c>
      <c r="I545">
        <f>VLOOKUP(E545,Sheet1!$B$1:$D$41,3,FALSE)</f>
        <v>705479</v>
      </c>
      <c r="J545">
        <f>VLOOKUP(F545,Sheet1!$B$1:$D$41,3,FALSE)</f>
        <v>2438184</v>
      </c>
    </row>
    <row r="546" spans="1:10" x14ac:dyDescent="0.25">
      <c r="A546">
        <f>A542+1</f>
        <v>12</v>
      </c>
      <c r="B546" s="1" t="s">
        <v>57</v>
      </c>
      <c r="C546" s="1" t="s">
        <v>14</v>
      </c>
      <c r="D546" s="1" t="s">
        <v>39</v>
      </c>
      <c r="E546" t="s">
        <v>60</v>
      </c>
      <c r="F546" t="s">
        <v>51</v>
      </c>
      <c r="G546" t="str">
        <f>VLOOKUP(E546,Sheet1!$B$1:$D$41,2,FALSE)</f>
        <v>Keith</v>
      </c>
      <c r="H546" t="str">
        <f>VLOOKUP(F546,Sheet1!$B$1:$D$41,2,FALSE)</f>
        <v>Andy</v>
      </c>
      <c r="I546">
        <f>VLOOKUP(E546,Sheet1!$B$1:$D$41,3,FALSE)</f>
        <v>2955410</v>
      </c>
      <c r="J546">
        <f>VLOOKUP(F546,Sheet1!$B$1:$D$41,3,FALSE)</f>
        <v>2564951</v>
      </c>
    </row>
    <row r="547" spans="1:10" x14ac:dyDescent="0.25">
      <c r="A547">
        <f>A543+1</f>
        <v>12</v>
      </c>
      <c r="B547" s="1" t="s">
        <v>57</v>
      </c>
      <c r="C547" s="1" t="s">
        <v>14</v>
      </c>
      <c r="D547" s="1" t="s">
        <v>39</v>
      </c>
      <c r="E547" t="s">
        <v>61</v>
      </c>
      <c r="F547" t="s">
        <v>62</v>
      </c>
      <c r="G547" t="str">
        <f>VLOOKUP(E547,Sheet1!$B$1:$D$41,2,FALSE)</f>
        <v>James</v>
      </c>
      <c r="H547" t="str">
        <f>VLOOKUP(F547,Sheet1!$B$1:$D$41,2,FALSE)</f>
        <v>Walid</v>
      </c>
      <c r="I547">
        <f>VLOOKUP(E547,Sheet1!$B$1:$D$41,3,FALSE)</f>
        <v>646361</v>
      </c>
      <c r="J547">
        <f>VLOOKUP(F547,Sheet1!$B$1:$D$41,3,FALSE)</f>
        <v>2955408</v>
      </c>
    </row>
    <row r="548" spans="1:10" x14ac:dyDescent="0.25">
      <c r="A548">
        <f>A544+1</f>
        <v>13</v>
      </c>
      <c r="B548" s="1" t="s">
        <v>57</v>
      </c>
      <c r="C548" s="1" t="s">
        <v>14</v>
      </c>
      <c r="D548" s="1" t="s">
        <v>39</v>
      </c>
      <c r="E548" t="s">
        <v>59</v>
      </c>
      <c r="F548" t="s">
        <v>61</v>
      </c>
      <c r="G548" t="str">
        <f>VLOOKUP(E548,Sheet1!$B$1:$D$41,2,FALSE)</f>
        <v>Gavin</v>
      </c>
      <c r="H548" t="str">
        <f>VLOOKUP(F548,Sheet1!$B$1:$D$41,2,FALSE)</f>
        <v>James</v>
      </c>
      <c r="I548">
        <f>VLOOKUP(E548,Sheet1!$B$1:$D$41,3,FALSE)</f>
        <v>2957407</v>
      </c>
      <c r="J548">
        <f>VLOOKUP(F548,Sheet1!$B$1:$D$41,3,FALSE)</f>
        <v>646361</v>
      </c>
    </row>
    <row r="549" spans="1:10" x14ac:dyDescent="0.25">
      <c r="A549">
        <f>A545+1</f>
        <v>13</v>
      </c>
      <c r="B549" s="1" t="s">
        <v>57</v>
      </c>
      <c r="C549" s="1" t="s">
        <v>14</v>
      </c>
      <c r="D549" s="1" t="s">
        <v>39</v>
      </c>
      <c r="E549" t="s">
        <v>62</v>
      </c>
      <c r="F549" t="s">
        <v>60</v>
      </c>
      <c r="G549" t="str">
        <f>VLOOKUP(E549,Sheet1!$B$1:$D$41,2,FALSE)</f>
        <v>Walid</v>
      </c>
      <c r="H549" t="str">
        <f>VLOOKUP(F549,Sheet1!$B$1:$D$41,2,FALSE)</f>
        <v>Keith</v>
      </c>
      <c r="I549">
        <f>VLOOKUP(E549,Sheet1!$B$1:$D$41,3,FALSE)</f>
        <v>2955408</v>
      </c>
      <c r="J549">
        <f>VLOOKUP(F549,Sheet1!$B$1:$D$41,3,FALSE)</f>
        <v>2955410</v>
      </c>
    </row>
    <row r="550" spans="1:10" x14ac:dyDescent="0.25">
      <c r="A550">
        <f>A546+1</f>
        <v>13</v>
      </c>
      <c r="B550" s="1" t="s">
        <v>57</v>
      </c>
      <c r="C550" s="1" t="s">
        <v>14</v>
      </c>
      <c r="D550" s="1" t="s">
        <v>39</v>
      </c>
      <c r="E550" t="s">
        <v>51</v>
      </c>
      <c r="F550" t="s">
        <v>58</v>
      </c>
      <c r="G550" t="str">
        <f>VLOOKUP(E550,Sheet1!$B$1:$D$41,2,FALSE)</f>
        <v>Andy</v>
      </c>
      <c r="H550" t="str">
        <f>VLOOKUP(F550,Sheet1!$B$1:$D$41,2,FALSE)</f>
        <v>Steven</v>
      </c>
      <c r="I550">
        <f>VLOOKUP(E550,Sheet1!$B$1:$D$41,3,FALSE)</f>
        <v>2564951</v>
      </c>
      <c r="J550">
        <f>VLOOKUP(F550,Sheet1!$B$1:$D$41,3,FALSE)</f>
        <v>705479</v>
      </c>
    </row>
    <row r="551" spans="1:10" x14ac:dyDescent="0.25">
      <c r="A551">
        <f>A547+1</f>
        <v>13</v>
      </c>
      <c r="B551" s="1" t="s">
        <v>57</v>
      </c>
      <c r="C551" s="1" t="s">
        <v>14</v>
      </c>
      <c r="D551" s="1" t="s">
        <v>39</v>
      </c>
      <c r="E551" t="s">
        <v>23</v>
      </c>
      <c r="F551" t="s">
        <v>27</v>
      </c>
      <c r="G551" t="str">
        <f>VLOOKUP(E551,Sheet1!$B$1:$D$41,2,FALSE)</f>
        <v>Simon</v>
      </c>
      <c r="H551" t="str">
        <f>VLOOKUP(F551,Sheet1!$B$1:$D$41,2,FALSE)</f>
        <v>Gordon</v>
      </c>
      <c r="I551">
        <f>VLOOKUP(E551,Sheet1!$B$1:$D$41,3,FALSE)</f>
        <v>2438184</v>
      </c>
      <c r="J551">
        <f>VLOOKUP(F551,Sheet1!$B$1:$D$41,3,FALSE)</f>
        <v>1177922</v>
      </c>
    </row>
    <row r="552" spans="1:10" x14ac:dyDescent="0.25">
      <c r="A552">
        <f>A548+1</f>
        <v>14</v>
      </c>
      <c r="B552" s="1" t="s">
        <v>57</v>
      </c>
      <c r="C552" s="1" t="s">
        <v>14</v>
      </c>
      <c r="D552" s="1" t="s">
        <v>39</v>
      </c>
      <c r="E552" t="s">
        <v>62</v>
      </c>
      <c r="F552" t="s">
        <v>59</v>
      </c>
      <c r="G552" t="str">
        <f>VLOOKUP(E552,Sheet1!$B$1:$D$41,2,FALSE)</f>
        <v>Walid</v>
      </c>
      <c r="H552" t="str">
        <f>VLOOKUP(F552,Sheet1!$B$1:$D$41,2,FALSE)</f>
        <v>Gavin</v>
      </c>
      <c r="I552">
        <f>VLOOKUP(E552,Sheet1!$B$1:$D$41,3,FALSE)</f>
        <v>2955408</v>
      </c>
      <c r="J552">
        <f>VLOOKUP(F552,Sheet1!$B$1:$D$41,3,FALSE)</f>
        <v>2957407</v>
      </c>
    </row>
    <row r="553" spans="1:10" x14ac:dyDescent="0.25">
      <c r="A553">
        <f>A549+1</f>
        <v>14</v>
      </c>
      <c r="B553" s="1" t="s">
        <v>57</v>
      </c>
      <c r="C553" s="1" t="s">
        <v>14</v>
      </c>
      <c r="D553" s="1" t="s">
        <v>39</v>
      </c>
      <c r="E553" t="s">
        <v>51</v>
      </c>
      <c r="F553" t="s">
        <v>61</v>
      </c>
      <c r="G553" t="str">
        <f>VLOOKUP(E553,Sheet1!$B$1:$D$41,2,FALSE)</f>
        <v>Andy</v>
      </c>
      <c r="H553" t="str">
        <f>VLOOKUP(F553,Sheet1!$B$1:$D$41,2,FALSE)</f>
        <v>James</v>
      </c>
      <c r="I553">
        <f>VLOOKUP(E553,Sheet1!$B$1:$D$41,3,FALSE)</f>
        <v>2564951</v>
      </c>
      <c r="J553">
        <f>VLOOKUP(F553,Sheet1!$B$1:$D$41,3,FALSE)</f>
        <v>646361</v>
      </c>
    </row>
    <row r="554" spans="1:10" x14ac:dyDescent="0.25">
      <c r="A554">
        <f>A550+1</f>
        <v>14</v>
      </c>
      <c r="B554" s="1" t="s">
        <v>57</v>
      </c>
      <c r="C554" s="1" t="s">
        <v>14</v>
      </c>
      <c r="D554" s="1" t="s">
        <v>39</v>
      </c>
      <c r="E554" t="s">
        <v>23</v>
      </c>
      <c r="F554" t="s">
        <v>60</v>
      </c>
      <c r="G554" t="str">
        <f>VLOOKUP(E554,Sheet1!$B$1:$D$41,2,FALSE)</f>
        <v>Simon</v>
      </c>
      <c r="H554" t="str">
        <f>VLOOKUP(F554,Sheet1!$B$1:$D$41,2,FALSE)</f>
        <v>Keith</v>
      </c>
      <c r="I554">
        <f>VLOOKUP(E554,Sheet1!$B$1:$D$41,3,FALSE)</f>
        <v>2438184</v>
      </c>
      <c r="J554">
        <f>VLOOKUP(F554,Sheet1!$B$1:$D$41,3,FALSE)</f>
        <v>2955410</v>
      </c>
    </row>
    <row r="555" spans="1:10" x14ac:dyDescent="0.25">
      <c r="A555">
        <f>A551+1</f>
        <v>14</v>
      </c>
      <c r="B555" s="1" t="s">
        <v>57</v>
      </c>
      <c r="C555" s="1" t="s">
        <v>14</v>
      </c>
      <c r="D555" s="1" t="s">
        <v>39</v>
      </c>
      <c r="E555" t="s">
        <v>27</v>
      </c>
      <c r="F555" t="s">
        <v>58</v>
      </c>
      <c r="G555" t="str">
        <f>VLOOKUP(E555,Sheet1!$B$1:$D$41,2,FALSE)</f>
        <v>Gordon</v>
      </c>
      <c r="H555" t="str">
        <f>VLOOKUP(F555,Sheet1!$B$1:$D$41,2,FALSE)</f>
        <v>Steven</v>
      </c>
      <c r="I555">
        <f>VLOOKUP(E555,Sheet1!$B$1:$D$41,3,FALSE)</f>
        <v>1177922</v>
      </c>
      <c r="J555">
        <f>VLOOKUP(F555,Sheet1!$B$1:$D$41,3,FALSE)</f>
        <v>705479</v>
      </c>
    </row>
    <row r="556" spans="1:10" x14ac:dyDescent="0.25">
      <c r="A556">
        <f>A552+1</f>
        <v>15</v>
      </c>
      <c r="B556" s="1" t="s">
        <v>57</v>
      </c>
      <c r="C556" s="1" t="s">
        <v>14</v>
      </c>
      <c r="D556" s="1" t="s">
        <v>39</v>
      </c>
      <c r="E556" t="s">
        <v>51</v>
      </c>
      <c r="F556" t="s">
        <v>59</v>
      </c>
      <c r="G556" t="str">
        <f>VLOOKUP(E556,Sheet1!$B$1:$D$41,2,FALSE)</f>
        <v>Andy</v>
      </c>
      <c r="H556" t="str">
        <f>VLOOKUP(F556,Sheet1!$B$1:$D$41,2,FALSE)</f>
        <v>Gavin</v>
      </c>
      <c r="I556">
        <f>VLOOKUP(E556,Sheet1!$B$1:$D$41,3,FALSE)</f>
        <v>2564951</v>
      </c>
      <c r="J556">
        <f>VLOOKUP(F556,Sheet1!$B$1:$D$41,3,FALSE)</f>
        <v>2957407</v>
      </c>
    </row>
    <row r="557" spans="1:10" x14ac:dyDescent="0.25">
      <c r="A557">
        <f>A553+1</f>
        <v>15</v>
      </c>
      <c r="B557" s="1" t="s">
        <v>57</v>
      </c>
      <c r="C557" s="1" t="s">
        <v>14</v>
      </c>
      <c r="D557" s="1" t="s">
        <v>39</v>
      </c>
      <c r="E557" t="s">
        <v>23</v>
      </c>
      <c r="F557" t="s">
        <v>62</v>
      </c>
      <c r="G557" t="str">
        <f>VLOOKUP(E557,Sheet1!$B$1:$D$41,2,FALSE)</f>
        <v>Simon</v>
      </c>
      <c r="H557" t="str">
        <f>VLOOKUP(F557,Sheet1!$B$1:$D$41,2,FALSE)</f>
        <v>Walid</v>
      </c>
      <c r="I557">
        <f>VLOOKUP(E557,Sheet1!$B$1:$D$41,3,FALSE)</f>
        <v>2438184</v>
      </c>
      <c r="J557">
        <f>VLOOKUP(F557,Sheet1!$B$1:$D$41,3,FALSE)</f>
        <v>2955408</v>
      </c>
    </row>
    <row r="558" spans="1:10" x14ac:dyDescent="0.25">
      <c r="A558">
        <f>A554+1</f>
        <v>15</v>
      </c>
      <c r="B558" s="1" t="s">
        <v>57</v>
      </c>
      <c r="C558" s="1" t="s">
        <v>14</v>
      </c>
      <c r="D558" s="1" t="s">
        <v>39</v>
      </c>
      <c r="E558" t="s">
        <v>27</v>
      </c>
      <c r="F558" t="s">
        <v>61</v>
      </c>
      <c r="G558" t="str">
        <f>VLOOKUP(E558,Sheet1!$B$1:$D$41,2,FALSE)</f>
        <v>Gordon</v>
      </c>
      <c r="H558" t="str">
        <f>VLOOKUP(F558,Sheet1!$B$1:$D$41,2,FALSE)</f>
        <v>James</v>
      </c>
      <c r="I558">
        <f>VLOOKUP(E558,Sheet1!$B$1:$D$41,3,FALSE)</f>
        <v>1177922</v>
      </c>
      <c r="J558">
        <f>VLOOKUP(F558,Sheet1!$B$1:$D$41,3,FALSE)</f>
        <v>646361</v>
      </c>
    </row>
    <row r="559" spans="1:10" x14ac:dyDescent="0.25">
      <c r="A559">
        <f>A555+1</f>
        <v>15</v>
      </c>
      <c r="B559" s="1" t="s">
        <v>57</v>
      </c>
      <c r="C559" s="1" t="s">
        <v>14</v>
      </c>
      <c r="D559" s="1" t="s">
        <v>39</v>
      </c>
      <c r="E559" t="s">
        <v>58</v>
      </c>
      <c r="F559" t="s">
        <v>60</v>
      </c>
      <c r="G559" t="str">
        <f>VLOOKUP(E559,Sheet1!$B$1:$D$41,2,FALSE)</f>
        <v>Steven</v>
      </c>
      <c r="H559" t="str">
        <f>VLOOKUP(F559,Sheet1!$B$1:$D$41,2,FALSE)</f>
        <v>Keith</v>
      </c>
      <c r="I559">
        <f>VLOOKUP(E559,Sheet1!$B$1:$D$41,3,FALSE)</f>
        <v>705479</v>
      </c>
      <c r="J559">
        <f>VLOOKUP(F559,Sheet1!$B$1:$D$41,3,FALSE)</f>
        <v>2955410</v>
      </c>
    </row>
    <row r="560" spans="1:10" x14ac:dyDescent="0.25">
      <c r="A560">
        <f>A556+1</f>
        <v>16</v>
      </c>
      <c r="B560" s="1" t="s">
        <v>57</v>
      </c>
      <c r="C560" s="1" t="s">
        <v>14</v>
      </c>
      <c r="D560" s="1" t="s">
        <v>39</v>
      </c>
      <c r="E560" t="s">
        <v>59</v>
      </c>
      <c r="F560" t="s">
        <v>58</v>
      </c>
      <c r="G560" t="str">
        <f>VLOOKUP(E560,Sheet1!$B$1:$D$41,2,FALSE)</f>
        <v>Gavin</v>
      </c>
      <c r="H560" t="str">
        <f>VLOOKUP(F560,Sheet1!$B$1:$D$41,2,FALSE)</f>
        <v>Steven</v>
      </c>
      <c r="I560">
        <f>VLOOKUP(E560,Sheet1!$B$1:$D$41,3,FALSE)</f>
        <v>2957407</v>
      </c>
      <c r="J560">
        <f>VLOOKUP(F560,Sheet1!$B$1:$D$41,3,FALSE)</f>
        <v>705479</v>
      </c>
    </row>
    <row r="561" spans="1:10" x14ac:dyDescent="0.25">
      <c r="A561">
        <f>A557+1</f>
        <v>16</v>
      </c>
      <c r="B561" s="1" t="s">
        <v>57</v>
      </c>
      <c r="C561" s="1" t="s">
        <v>14</v>
      </c>
      <c r="D561" s="1" t="s">
        <v>39</v>
      </c>
      <c r="E561" t="s">
        <v>60</v>
      </c>
      <c r="F561" t="s">
        <v>27</v>
      </c>
      <c r="G561" t="str">
        <f>VLOOKUP(E561,Sheet1!$B$1:$D$41,2,FALSE)</f>
        <v>Keith</v>
      </c>
      <c r="H561" t="str">
        <f>VLOOKUP(F561,Sheet1!$B$1:$D$41,2,FALSE)</f>
        <v>Gordon</v>
      </c>
      <c r="I561">
        <f>VLOOKUP(E561,Sheet1!$B$1:$D$41,3,FALSE)</f>
        <v>2955410</v>
      </c>
      <c r="J561">
        <f>VLOOKUP(F561,Sheet1!$B$1:$D$41,3,FALSE)</f>
        <v>1177922</v>
      </c>
    </row>
    <row r="562" spans="1:10" x14ac:dyDescent="0.25">
      <c r="A562">
        <f>A558+1</f>
        <v>16</v>
      </c>
      <c r="B562" s="1" t="s">
        <v>57</v>
      </c>
      <c r="C562" s="1" t="s">
        <v>14</v>
      </c>
      <c r="D562" s="1" t="s">
        <v>39</v>
      </c>
      <c r="E562" t="s">
        <v>61</v>
      </c>
      <c r="F562" t="s">
        <v>23</v>
      </c>
      <c r="G562" t="str">
        <f>VLOOKUP(E562,Sheet1!$B$1:$D$41,2,FALSE)</f>
        <v>James</v>
      </c>
      <c r="H562" t="str">
        <f>VLOOKUP(F562,Sheet1!$B$1:$D$41,2,FALSE)</f>
        <v>Simon</v>
      </c>
      <c r="I562">
        <f>VLOOKUP(E562,Sheet1!$B$1:$D$41,3,FALSE)</f>
        <v>646361</v>
      </c>
      <c r="J562">
        <f>VLOOKUP(F562,Sheet1!$B$1:$D$41,3,FALSE)</f>
        <v>2438184</v>
      </c>
    </row>
    <row r="563" spans="1:10" x14ac:dyDescent="0.25">
      <c r="A563">
        <f>A559+1</f>
        <v>16</v>
      </c>
      <c r="B563" s="1" t="s">
        <v>57</v>
      </c>
      <c r="C563" s="1" t="s">
        <v>14</v>
      </c>
      <c r="D563" s="1" t="s">
        <v>39</v>
      </c>
      <c r="E563" t="s">
        <v>62</v>
      </c>
      <c r="F563" t="s">
        <v>51</v>
      </c>
      <c r="G563" t="str">
        <f>VLOOKUP(E563,Sheet1!$B$1:$D$41,2,FALSE)</f>
        <v>Walid</v>
      </c>
      <c r="H563" t="str">
        <f>VLOOKUP(F563,Sheet1!$B$1:$D$41,2,FALSE)</f>
        <v>Andy</v>
      </c>
      <c r="I563">
        <f>VLOOKUP(E563,Sheet1!$B$1:$D$41,3,FALSE)</f>
        <v>2955408</v>
      </c>
      <c r="J563">
        <f>VLOOKUP(F563,Sheet1!$B$1:$D$41,3,FALSE)</f>
        <v>2564951</v>
      </c>
    </row>
    <row r="564" spans="1:10" x14ac:dyDescent="0.25">
      <c r="A564">
        <f>A560+1</f>
        <v>17</v>
      </c>
      <c r="B564" s="1" t="s">
        <v>57</v>
      </c>
      <c r="C564" s="1" t="s">
        <v>14</v>
      </c>
      <c r="D564" s="1" t="s">
        <v>39</v>
      </c>
      <c r="E564" t="s">
        <v>23</v>
      </c>
      <c r="F564" t="s">
        <v>59</v>
      </c>
      <c r="G564" t="str">
        <f>VLOOKUP(E564,Sheet1!$B$1:$D$41,2,FALSE)</f>
        <v>Simon</v>
      </c>
      <c r="H564" t="str">
        <f>VLOOKUP(F564,Sheet1!$B$1:$D$41,2,FALSE)</f>
        <v>Gavin</v>
      </c>
      <c r="I564">
        <f>VLOOKUP(E564,Sheet1!$B$1:$D$41,3,FALSE)</f>
        <v>2438184</v>
      </c>
      <c r="J564">
        <f>VLOOKUP(F564,Sheet1!$B$1:$D$41,3,FALSE)</f>
        <v>2957407</v>
      </c>
    </row>
    <row r="565" spans="1:10" x14ac:dyDescent="0.25">
      <c r="A565">
        <f>A561+1</f>
        <v>17</v>
      </c>
      <c r="B565" s="1" t="s">
        <v>57</v>
      </c>
      <c r="C565" s="1" t="s">
        <v>14</v>
      </c>
      <c r="D565" s="1" t="s">
        <v>39</v>
      </c>
      <c r="E565" t="s">
        <v>27</v>
      </c>
      <c r="F565" t="s">
        <v>51</v>
      </c>
      <c r="G565" t="str">
        <f>VLOOKUP(E565,Sheet1!$B$1:$D$41,2,FALSE)</f>
        <v>Gordon</v>
      </c>
      <c r="H565" t="str">
        <f>VLOOKUP(F565,Sheet1!$B$1:$D$41,2,FALSE)</f>
        <v>Andy</v>
      </c>
      <c r="I565">
        <f>VLOOKUP(E565,Sheet1!$B$1:$D$41,3,FALSE)</f>
        <v>1177922</v>
      </c>
      <c r="J565">
        <f>VLOOKUP(F565,Sheet1!$B$1:$D$41,3,FALSE)</f>
        <v>2564951</v>
      </c>
    </row>
    <row r="566" spans="1:10" x14ac:dyDescent="0.25">
      <c r="A566">
        <f>A562+1</f>
        <v>17</v>
      </c>
      <c r="B566" s="1" t="s">
        <v>57</v>
      </c>
      <c r="C566" s="1" t="s">
        <v>14</v>
      </c>
      <c r="D566" s="1" t="s">
        <v>39</v>
      </c>
      <c r="E566" t="s">
        <v>58</v>
      </c>
      <c r="F566" t="s">
        <v>62</v>
      </c>
      <c r="G566" t="str">
        <f>VLOOKUP(E566,Sheet1!$B$1:$D$41,2,FALSE)</f>
        <v>Steven</v>
      </c>
      <c r="H566" t="str">
        <f>VLOOKUP(F566,Sheet1!$B$1:$D$41,2,FALSE)</f>
        <v>Walid</v>
      </c>
      <c r="I566">
        <f>VLOOKUP(E566,Sheet1!$B$1:$D$41,3,FALSE)</f>
        <v>705479</v>
      </c>
      <c r="J566">
        <f>VLOOKUP(F566,Sheet1!$B$1:$D$41,3,FALSE)</f>
        <v>2955408</v>
      </c>
    </row>
    <row r="567" spans="1:10" x14ac:dyDescent="0.25">
      <c r="A567">
        <f>A563+1</f>
        <v>17</v>
      </c>
      <c r="B567" s="1" t="s">
        <v>57</v>
      </c>
      <c r="C567" s="1" t="s">
        <v>14</v>
      </c>
      <c r="D567" s="1" t="s">
        <v>39</v>
      </c>
      <c r="E567" t="s">
        <v>60</v>
      </c>
      <c r="F567" t="s">
        <v>61</v>
      </c>
      <c r="G567" t="str">
        <f>VLOOKUP(E567,Sheet1!$B$1:$D$41,2,FALSE)</f>
        <v>Keith</v>
      </c>
      <c r="H567" t="str">
        <f>VLOOKUP(F567,Sheet1!$B$1:$D$41,2,FALSE)</f>
        <v>James</v>
      </c>
      <c r="I567">
        <f>VLOOKUP(E567,Sheet1!$B$1:$D$41,3,FALSE)</f>
        <v>2955410</v>
      </c>
      <c r="J567">
        <f>VLOOKUP(F567,Sheet1!$B$1:$D$41,3,FALSE)</f>
        <v>646361</v>
      </c>
    </row>
    <row r="568" spans="1:10" x14ac:dyDescent="0.25">
      <c r="A568">
        <f>A564+1</f>
        <v>18</v>
      </c>
      <c r="B568" s="1" t="s">
        <v>57</v>
      </c>
      <c r="C568" s="1" t="s">
        <v>14</v>
      </c>
      <c r="D568" s="1" t="s">
        <v>39</v>
      </c>
      <c r="E568" t="s">
        <v>59</v>
      </c>
      <c r="F568" t="s">
        <v>60</v>
      </c>
      <c r="G568" t="str">
        <f>VLOOKUP(E568,Sheet1!$B$1:$D$41,2,FALSE)</f>
        <v>Gavin</v>
      </c>
      <c r="H568" t="str">
        <f>VLOOKUP(F568,Sheet1!$B$1:$D$41,2,FALSE)</f>
        <v>Keith</v>
      </c>
      <c r="I568">
        <f>VLOOKUP(E568,Sheet1!$B$1:$D$41,3,FALSE)</f>
        <v>2957407</v>
      </c>
      <c r="J568">
        <f>VLOOKUP(F568,Sheet1!$B$1:$D$41,3,FALSE)</f>
        <v>2955410</v>
      </c>
    </row>
    <row r="569" spans="1:10" x14ac:dyDescent="0.25">
      <c r="A569">
        <f>A565+1</f>
        <v>18</v>
      </c>
      <c r="B569" s="1" t="s">
        <v>57</v>
      </c>
      <c r="C569" s="1" t="s">
        <v>14</v>
      </c>
      <c r="D569" s="1" t="s">
        <v>39</v>
      </c>
      <c r="E569" t="s">
        <v>61</v>
      </c>
      <c r="F569" t="s">
        <v>58</v>
      </c>
      <c r="G569" t="str">
        <f>VLOOKUP(E569,Sheet1!$B$1:$D$41,2,FALSE)</f>
        <v>James</v>
      </c>
      <c r="H569" t="str">
        <f>VLOOKUP(F569,Sheet1!$B$1:$D$41,2,FALSE)</f>
        <v>Steven</v>
      </c>
      <c r="I569">
        <f>VLOOKUP(E569,Sheet1!$B$1:$D$41,3,FALSE)</f>
        <v>646361</v>
      </c>
      <c r="J569">
        <f>VLOOKUP(F569,Sheet1!$B$1:$D$41,3,FALSE)</f>
        <v>705479</v>
      </c>
    </row>
    <row r="570" spans="1:10" x14ac:dyDescent="0.25">
      <c r="A570">
        <f>A566+1</f>
        <v>18</v>
      </c>
      <c r="B570" s="1" t="s">
        <v>57</v>
      </c>
      <c r="C570" s="1" t="s">
        <v>14</v>
      </c>
      <c r="D570" s="1" t="s">
        <v>39</v>
      </c>
      <c r="E570" t="s">
        <v>62</v>
      </c>
      <c r="F570" t="s">
        <v>27</v>
      </c>
      <c r="G570" t="str">
        <f>VLOOKUP(E570,Sheet1!$B$1:$D$41,2,FALSE)</f>
        <v>Walid</v>
      </c>
      <c r="H570" t="str">
        <f>VLOOKUP(F570,Sheet1!$B$1:$D$41,2,FALSE)</f>
        <v>Gordon</v>
      </c>
      <c r="I570">
        <f>VLOOKUP(E570,Sheet1!$B$1:$D$41,3,FALSE)</f>
        <v>2955408</v>
      </c>
      <c r="J570">
        <f>VLOOKUP(F570,Sheet1!$B$1:$D$41,3,FALSE)</f>
        <v>1177922</v>
      </c>
    </row>
    <row r="571" spans="1:10" x14ac:dyDescent="0.25">
      <c r="A571">
        <f>A567+1</f>
        <v>18</v>
      </c>
      <c r="B571" s="1" t="s">
        <v>57</v>
      </c>
      <c r="C571" s="1" t="s">
        <v>14</v>
      </c>
      <c r="D571" s="1" t="s">
        <v>39</v>
      </c>
      <c r="E571" t="s">
        <v>51</v>
      </c>
      <c r="F571" t="s">
        <v>23</v>
      </c>
      <c r="G571" t="str">
        <f>VLOOKUP(E571,Sheet1!$B$1:$D$41,2,FALSE)</f>
        <v>Andy</v>
      </c>
      <c r="H571" t="str">
        <f>VLOOKUP(F571,Sheet1!$B$1:$D$41,2,FALSE)</f>
        <v>Simon</v>
      </c>
      <c r="I571">
        <f>VLOOKUP(E571,Sheet1!$B$1:$D$41,3,FALSE)</f>
        <v>2564951</v>
      </c>
      <c r="J571">
        <f>VLOOKUP(F571,Sheet1!$B$1:$D$41,3,FALSE)</f>
        <v>2438184</v>
      </c>
    </row>
    <row r="572" spans="1:10" x14ac:dyDescent="0.25">
      <c r="A572">
        <f>A568+1</f>
        <v>19</v>
      </c>
      <c r="B572" s="1" t="s">
        <v>57</v>
      </c>
      <c r="C572" s="1" t="s">
        <v>14</v>
      </c>
      <c r="D572" s="1" t="s">
        <v>39</v>
      </c>
      <c r="E572" t="s">
        <v>27</v>
      </c>
      <c r="F572" t="s">
        <v>59</v>
      </c>
      <c r="G572" t="str">
        <f>VLOOKUP(E572,Sheet1!$B$1:$D$41,2,FALSE)</f>
        <v>Gordon</v>
      </c>
      <c r="H572" t="str">
        <f>VLOOKUP(F572,Sheet1!$B$1:$D$41,2,FALSE)</f>
        <v>Gavin</v>
      </c>
      <c r="I572">
        <f>VLOOKUP(E572,Sheet1!$B$1:$D$41,3,FALSE)</f>
        <v>1177922</v>
      </c>
      <c r="J572">
        <f>VLOOKUP(F572,Sheet1!$B$1:$D$41,3,FALSE)</f>
        <v>2957407</v>
      </c>
    </row>
    <row r="573" spans="1:10" x14ac:dyDescent="0.25">
      <c r="A573">
        <f>A569+1</f>
        <v>19</v>
      </c>
      <c r="B573" s="1" t="s">
        <v>57</v>
      </c>
      <c r="C573" s="1" t="s">
        <v>14</v>
      </c>
      <c r="D573" s="1" t="s">
        <v>39</v>
      </c>
      <c r="E573" t="s">
        <v>58</v>
      </c>
      <c r="F573" t="s">
        <v>23</v>
      </c>
      <c r="G573" t="str">
        <f>VLOOKUP(E573,Sheet1!$B$1:$D$41,2,FALSE)</f>
        <v>Steven</v>
      </c>
      <c r="H573" t="str">
        <f>VLOOKUP(F573,Sheet1!$B$1:$D$41,2,FALSE)</f>
        <v>Simon</v>
      </c>
      <c r="I573">
        <f>VLOOKUP(E573,Sheet1!$B$1:$D$41,3,FALSE)</f>
        <v>705479</v>
      </c>
      <c r="J573">
        <f>VLOOKUP(F573,Sheet1!$B$1:$D$41,3,FALSE)</f>
        <v>2438184</v>
      </c>
    </row>
    <row r="574" spans="1:10" x14ac:dyDescent="0.25">
      <c r="A574">
        <f>A570+1</f>
        <v>19</v>
      </c>
      <c r="B574" s="1" t="s">
        <v>57</v>
      </c>
      <c r="C574" s="1" t="s">
        <v>14</v>
      </c>
      <c r="D574" s="1" t="s">
        <v>39</v>
      </c>
      <c r="E574" t="s">
        <v>60</v>
      </c>
      <c r="F574" t="s">
        <v>51</v>
      </c>
      <c r="G574" t="str">
        <f>VLOOKUP(E574,Sheet1!$B$1:$D$41,2,FALSE)</f>
        <v>Keith</v>
      </c>
      <c r="H574" t="str">
        <f>VLOOKUP(F574,Sheet1!$B$1:$D$41,2,FALSE)</f>
        <v>Andy</v>
      </c>
      <c r="I574">
        <f>VLOOKUP(E574,Sheet1!$B$1:$D$41,3,FALSE)</f>
        <v>2955410</v>
      </c>
      <c r="J574">
        <f>VLOOKUP(F574,Sheet1!$B$1:$D$41,3,FALSE)</f>
        <v>2564951</v>
      </c>
    </row>
    <row r="575" spans="1:10" x14ac:dyDescent="0.25">
      <c r="A575">
        <f>A571+1</f>
        <v>19</v>
      </c>
      <c r="B575" s="1" t="s">
        <v>57</v>
      </c>
      <c r="C575" s="1" t="s">
        <v>14</v>
      </c>
      <c r="D575" s="1" t="s">
        <v>39</v>
      </c>
      <c r="E575" t="s">
        <v>61</v>
      </c>
      <c r="F575" t="s">
        <v>62</v>
      </c>
      <c r="G575" t="str">
        <f>VLOOKUP(E575,Sheet1!$B$1:$D$41,2,FALSE)</f>
        <v>James</v>
      </c>
      <c r="H575" t="str">
        <f>VLOOKUP(F575,Sheet1!$B$1:$D$41,2,FALSE)</f>
        <v>Walid</v>
      </c>
      <c r="I575">
        <f>VLOOKUP(E575,Sheet1!$B$1:$D$41,3,FALSE)</f>
        <v>646361</v>
      </c>
      <c r="J575">
        <f>VLOOKUP(F575,Sheet1!$B$1:$D$41,3,FALSE)</f>
        <v>2955408</v>
      </c>
    </row>
    <row r="576" spans="1:10" x14ac:dyDescent="0.25">
      <c r="A576">
        <f>A572+1</f>
        <v>20</v>
      </c>
      <c r="B576" s="1" t="s">
        <v>57</v>
      </c>
      <c r="C576" s="1" t="s">
        <v>14</v>
      </c>
      <c r="D576" s="1" t="s">
        <v>39</v>
      </c>
      <c r="E576" t="s">
        <v>59</v>
      </c>
      <c r="F576" t="s">
        <v>61</v>
      </c>
      <c r="G576" t="str">
        <f>VLOOKUP(E576,Sheet1!$B$1:$D$41,2,FALSE)</f>
        <v>Gavin</v>
      </c>
      <c r="H576" t="str">
        <f>VLOOKUP(F576,Sheet1!$B$1:$D$41,2,FALSE)</f>
        <v>James</v>
      </c>
      <c r="I576">
        <f>VLOOKUP(E576,Sheet1!$B$1:$D$41,3,FALSE)</f>
        <v>2957407</v>
      </c>
      <c r="J576">
        <f>VLOOKUP(F576,Sheet1!$B$1:$D$41,3,FALSE)</f>
        <v>646361</v>
      </c>
    </row>
    <row r="577" spans="1:10" x14ac:dyDescent="0.25">
      <c r="A577">
        <f>A573+1</f>
        <v>20</v>
      </c>
      <c r="B577" s="1" t="s">
        <v>57</v>
      </c>
      <c r="C577" s="1" t="s">
        <v>14</v>
      </c>
      <c r="D577" s="1" t="s">
        <v>39</v>
      </c>
      <c r="E577" t="s">
        <v>62</v>
      </c>
      <c r="F577" t="s">
        <v>60</v>
      </c>
      <c r="G577" t="str">
        <f>VLOOKUP(E577,Sheet1!$B$1:$D$41,2,FALSE)</f>
        <v>Walid</v>
      </c>
      <c r="H577" t="str">
        <f>VLOOKUP(F577,Sheet1!$B$1:$D$41,2,FALSE)</f>
        <v>Keith</v>
      </c>
      <c r="I577">
        <f>VLOOKUP(E577,Sheet1!$B$1:$D$41,3,FALSE)</f>
        <v>2955408</v>
      </c>
      <c r="J577">
        <f>VLOOKUP(F577,Sheet1!$B$1:$D$41,3,FALSE)</f>
        <v>2955410</v>
      </c>
    </row>
    <row r="578" spans="1:10" x14ac:dyDescent="0.25">
      <c r="A578">
        <f>A574+1</f>
        <v>20</v>
      </c>
      <c r="B578" s="1" t="s">
        <v>57</v>
      </c>
      <c r="C578" s="1" t="s">
        <v>14</v>
      </c>
      <c r="D578" s="1" t="s">
        <v>39</v>
      </c>
      <c r="E578" t="s">
        <v>51</v>
      </c>
      <c r="F578" t="s">
        <v>58</v>
      </c>
      <c r="G578" t="str">
        <f>VLOOKUP(E578,Sheet1!$B$1:$D$41,2,FALSE)</f>
        <v>Andy</v>
      </c>
      <c r="H578" t="str">
        <f>VLOOKUP(F578,Sheet1!$B$1:$D$41,2,FALSE)</f>
        <v>Steven</v>
      </c>
      <c r="I578">
        <f>VLOOKUP(E578,Sheet1!$B$1:$D$41,3,FALSE)</f>
        <v>2564951</v>
      </c>
      <c r="J578">
        <f>VLOOKUP(F578,Sheet1!$B$1:$D$41,3,FALSE)</f>
        <v>705479</v>
      </c>
    </row>
    <row r="579" spans="1:10" x14ac:dyDescent="0.25">
      <c r="A579">
        <f>A575+1</f>
        <v>20</v>
      </c>
      <c r="B579" s="1" t="s">
        <v>57</v>
      </c>
      <c r="C579" s="1" t="s">
        <v>14</v>
      </c>
      <c r="D579" s="1" t="s">
        <v>39</v>
      </c>
      <c r="E579" t="s">
        <v>23</v>
      </c>
      <c r="F579" t="s">
        <v>27</v>
      </c>
      <c r="G579" t="str">
        <f>VLOOKUP(E579,Sheet1!$B$1:$D$41,2,FALSE)</f>
        <v>Simon</v>
      </c>
      <c r="H579" t="str">
        <f>VLOOKUP(F579,Sheet1!$B$1:$D$41,2,FALSE)</f>
        <v>Gordon</v>
      </c>
      <c r="I579">
        <f>VLOOKUP(E579,Sheet1!$B$1:$D$41,3,FALSE)</f>
        <v>2438184</v>
      </c>
      <c r="J579">
        <f>VLOOKUP(F579,Sheet1!$B$1:$D$41,3,FALSE)</f>
        <v>1177922</v>
      </c>
    </row>
    <row r="580" spans="1:10" x14ac:dyDescent="0.25">
      <c r="A580">
        <v>21</v>
      </c>
      <c r="B580" s="1" t="s">
        <v>57</v>
      </c>
      <c r="C580" t="s">
        <v>37</v>
      </c>
      <c r="D580" s="1" t="s">
        <v>40</v>
      </c>
      <c r="E580" t="s">
        <v>63</v>
      </c>
      <c r="F580" t="s">
        <v>63</v>
      </c>
      <c r="I580">
        <v>0</v>
      </c>
      <c r="J580">
        <v>0</v>
      </c>
    </row>
    <row r="581" spans="1:10" x14ac:dyDescent="0.25">
      <c r="A581">
        <v>21</v>
      </c>
      <c r="B581" s="1" t="s">
        <v>57</v>
      </c>
      <c r="C581" t="s">
        <v>37</v>
      </c>
      <c r="D581" s="1" t="s">
        <v>40</v>
      </c>
      <c r="E581" t="s">
        <v>63</v>
      </c>
      <c r="F581" t="s">
        <v>63</v>
      </c>
      <c r="I581">
        <v>0</v>
      </c>
      <c r="J581">
        <v>0</v>
      </c>
    </row>
    <row r="582" spans="1:10" x14ac:dyDescent="0.25">
      <c r="A582">
        <v>21</v>
      </c>
      <c r="B582" s="1" t="s">
        <v>57</v>
      </c>
      <c r="C582" t="s">
        <v>37</v>
      </c>
      <c r="D582" s="1" t="s">
        <v>40</v>
      </c>
      <c r="E582" t="s">
        <v>63</v>
      </c>
      <c r="F582" t="s">
        <v>63</v>
      </c>
      <c r="I582">
        <v>0</v>
      </c>
      <c r="J582">
        <v>0</v>
      </c>
    </row>
    <row r="583" spans="1:10" x14ac:dyDescent="0.25">
      <c r="A583">
        <v>21</v>
      </c>
      <c r="B583" s="1" t="s">
        <v>57</v>
      </c>
      <c r="C583" t="s">
        <v>37</v>
      </c>
      <c r="D583" s="1" t="s">
        <v>40</v>
      </c>
      <c r="E583" t="s">
        <v>63</v>
      </c>
      <c r="F583" t="s">
        <v>63</v>
      </c>
      <c r="I583">
        <v>0</v>
      </c>
      <c r="J583">
        <v>0</v>
      </c>
    </row>
    <row r="584" spans="1:10" x14ac:dyDescent="0.25">
      <c r="A584">
        <f>A580+1</f>
        <v>22</v>
      </c>
      <c r="B584" s="1" t="s">
        <v>57</v>
      </c>
      <c r="C584" s="1" t="s">
        <v>14</v>
      </c>
      <c r="D584" s="1" t="s">
        <v>39</v>
      </c>
      <c r="E584" t="s">
        <v>62</v>
      </c>
      <c r="F584" t="s">
        <v>59</v>
      </c>
      <c r="G584" t="str">
        <f>VLOOKUP(E584,Sheet1!$B$1:$D$41,2,FALSE)</f>
        <v>Walid</v>
      </c>
      <c r="H584" t="str">
        <f>VLOOKUP(F584,Sheet1!$B$1:$D$41,2,FALSE)</f>
        <v>Gavin</v>
      </c>
      <c r="I584">
        <f>VLOOKUP(E584,Sheet1!$B$1:$D$41,3,FALSE)</f>
        <v>2955408</v>
      </c>
      <c r="J584">
        <f>VLOOKUP(F584,Sheet1!$B$1:$D$41,3,FALSE)</f>
        <v>2957407</v>
      </c>
    </row>
    <row r="585" spans="1:10" x14ac:dyDescent="0.25">
      <c r="A585">
        <f>A581+1</f>
        <v>22</v>
      </c>
      <c r="B585" s="1" t="s">
        <v>57</v>
      </c>
      <c r="C585" s="1" t="s">
        <v>14</v>
      </c>
      <c r="D585" s="1" t="s">
        <v>39</v>
      </c>
      <c r="E585" t="s">
        <v>51</v>
      </c>
      <c r="F585" t="s">
        <v>61</v>
      </c>
      <c r="G585" t="str">
        <f>VLOOKUP(E585,Sheet1!$B$1:$D$41,2,FALSE)</f>
        <v>Andy</v>
      </c>
      <c r="H585" t="str">
        <f>VLOOKUP(F585,Sheet1!$B$1:$D$41,2,FALSE)</f>
        <v>James</v>
      </c>
      <c r="I585">
        <f>VLOOKUP(E585,Sheet1!$B$1:$D$41,3,FALSE)</f>
        <v>2564951</v>
      </c>
      <c r="J585">
        <f>VLOOKUP(F585,Sheet1!$B$1:$D$41,3,FALSE)</f>
        <v>646361</v>
      </c>
    </row>
    <row r="586" spans="1:10" x14ac:dyDescent="0.25">
      <c r="A586">
        <f>A582+1</f>
        <v>22</v>
      </c>
      <c r="B586" s="1" t="s">
        <v>57</v>
      </c>
      <c r="C586" s="1" t="s">
        <v>14</v>
      </c>
      <c r="D586" s="1" t="s">
        <v>39</v>
      </c>
      <c r="E586" t="s">
        <v>23</v>
      </c>
      <c r="F586" t="s">
        <v>60</v>
      </c>
      <c r="G586" t="str">
        <f>VLOOKUP(E586,Sheet1!$B$1:$D$41,2,FALSE)</f>
        <v>Simon</v>
      </c>
      <c r="H586" t="str">
        <f>VLOOKUP(F586,Sheet1!$B$1:$D$41,2,FALSE)</f>
        <v>Keith</v>
      </c>
      <c r="I586">
        <f>VLOOKUP(E586,Sheet1!$B$1:$D$41,3,FALSE)</f>
        <v>2438184</v>
      </c>
      <c r="J586">
        <f>VLOOKUP(F586,Sheet1!$B$1:$D$41,3,FALSE)</f>
        <v>2955410</v>
      </c>
    </row>
    <row r="587" spans="1:10" x14ac:dyDescent="0.25">
      <c r="A587">
        <f>A583+1</f>
        <v>22</v>
      </c>
      <c r="B587" s="1" t="s">
        <v>57</v>
      </c>
      <c r="C587" s="1" t="s">
        <v>14</v>
      </c>
      <c r="D587" s="1" t="s">
        <v>39</v>
      </c>
      <c r="E587" t="s">
        <v>27</v>
      </c>
      <c r="F587" t="s">
        <v>58</v>
      </c>
      <c r="G587" t="str">
        <f>VLOOKUP(E587,Sheet1!$B$1:$D$41,2,FALSE)</f>
        <v>Gordon</v>
      </c>
      <c r="H587" t="str">
        <f>VLOOKUP(F587,Sheet1!$B$1:$D$41,2,FALSE)</f>
        <v>Steven</v>
      </c>
      <c r="I587">
        <f>VLOOKUP(E587,Sheet1!$B$1:$D$41,3,FALSE)</f>
        <v>1177922</v>
      </c>
      <c r="J587">
        <f>VLOOKUP(F587,Sheet1!$B$1:$D$41,3,FALSE)</f>
        <v>705479</v>
      </c>
    </row>
    <row r="588" spans="1:10" x14ac:dyDescent="0.25">
      <c r="A588">
        <v>22</v>
      </c>
      <c r="B588" s="1" t="s">
        <v>57</v>
      </c>
      <c r="C588" t="s">
        <v>37</v>
      </c>
      <c r="D588" s="1" t="s">
        <v>40</v>
      </c>
      <c r="E588" t="s">
        <v>63</v>
      </c>
      <c r="F588" t="s">
        <v>63</v>
      </c>
      <c r="I588">
        <v>0</v>
      </c>
      <c r="J588">
        <v>0</v>
      </c>
    </row>
    <row r="589" spans="1:10" x14ac:dyDescent="0.25">
      <c r="A589">
        <v>22</v>
      </c>
      <c r="B589" s="1" t="s">
        <v>57</v>
      </c>
      <c r="C589" t="s">
        <v>37</v>
      </c>
      <c r="D589" s="1" t="s">
        <v>40</v>
      </c>
      <c r="E589" t="s">
        <v>63</v>
      </c>
      <c r="F589" t="s">
        <v>63</v>
      </c>
      <c r="I589">
        <v>0</v>
      </c>
      <c r="J589">
        <v>0</v>
      </c>
    </row>
    <row r="590" spans="1:10" x14ac:dyDescent="0.25">
      <c r="A590">
        <v>22</v>
      </c>
      <c r="B590" s="1" t="s">
        <v>57</v>
      </c>
      <c r="C590" t="s">
        <v>37</v>
      </c>
      <c r="D590" s="1" t="s">
        <v>40</v>
      </c>
      <c r="E590" t="s">
        <v>63</v>
      </c>
      <c r="F590" t="s">
        <v>63</v>
      </c>
      <c r="I590">
        <v>0</v>
      </c>
      <c r="J590">
        <v>0</v>
      </c>
    </row>
    <row r="591" spans="1:10" x14ac:dyDescent="0.25">
      <c r="A591">
        <v>22</v>
      </c>
      <c r="B591" s="1" t="s">
        <v>57</v>
      </c>
      <c r="C591" t="s">
        <v>37</v>
      </c>
      <c r="D591" s="1" t="s">
        <v>40</v>
      </c>
      <c r="E591" t="s">
        <v>63</v>
      </c>
      <c r="F591" t="s">
        <v>63</v>
      </c>
      <c r="I591">
        <v>0</v>
      </c>
      <c r="J591">
        <v>0</v>
      </c>
    </row>
    <row r="592" spans="1:10" x14ac:dyDescent="0.25">
      <c r="A592">
        <f>A588+1</f>
        <v>23</v>
      </c>
      <c r="B592" s="1" t="s">
        <v>57</v>
      </c>
      <c r="C592" s="1" t="s">
        <v>14</v>
      </c>
      <c r="D592" s="1" t="s">
        <v>39</v>
      </c>
      <c r="E592" t="s">
        <v>51</v>
      </c>
      <c r="F592" t="s">
        <v>59</v>
      </c>
      <c r="G592" t="str">
        <f>VLOOKUP(E592,Sheet1!$B$1:$D$41,2,FALSE)</f>
        <v>Andy</v>
      </c>
      <c r="H592" t="str">
        <f>VLOOKUP(F592,Sheet1!$B$1:$D$41,2,FALSE)</f>
        <v>Gavin</v>
      </c>
      <c r="I592">
        <f>VLOOKUP(E592,Sheet1!$B$1:$D$41,3,FALSE)</f>
        <v>2564951</v>
      </c>
      <c r="J592">
        <f>VLOOKUP(F592,Sheet1!$B$1:$D$41,3,FALSE)</f>
        <v>2957407</v>
      </c>
    </row>
    <row r="593" spans="1:10" x14ac:dyDescent="0.25">
      <c r="A593">
        <f>A589+1</f>
        <v>23</v>
      </c>
      <c r="B593" s="1" t="s">
        <v>57</v>
      </c>
      <c r="C593" s="1" t="s">
        <v>14</v>
      </c>
      <c r="D593" s="1" t="s">
        <v>39</v>
      </c>
      <c r="E593" t="s">
        <v>23</v>
      </c>
      <c r="F593" t="s">
        <v>62</v>
      </c>
      <c r="G593" t="str">
        <f>VLOOKUP(E593,Sheet1!$B$1:$D$41,2,FALSE)</f>
        <v>Simon</v>
      </c>
      <c r="H593" t="str">
        <f>VLOOKUP(F593,Sheet1!$B$1:$D$41,2,FALSE)</f>
        <v>Walid</v>
      </c>
      <c r="I593">
        <f>VLOOKUP(E593,Sheet1!$B$1:$D$41,3,FALSE)</f>
        <v>2438184</v>
      </c>
      <c r="J593">
        <f>VLOOKUP(F593,Sheet1!$B$1:$D$41,3,FALSE)</f>
        <v>2955408</v>
      </c>
    </row>
    <row r="594" spans="1:10" x14ac:dyDescent="0.25">
      <c r="A594">
        <f>A590+1</f>
        <v>23</v>
      </c>
      <c r="B594" s="1" t="s">
        <v>57</v>
      </c>
      <c r="C594" s="1" t="s">
        <v>14</v>
      </c>
      <c r="D594" s="1" t="s">
        <v>39</v>
      </c>
      <c r="E594" t="s">
        <v>27</v>
      </c>
      <c r="F594" t="s">
        <v>61</v>
      </c>
      <c r="G594" t="str">
        <f>VLOOKUP(E594,Sheet1!$B$1:$D$41,2,FALSE)</f>
        <v>Gordon</v>
      </c>
      <c r="H594" t="str">
        <f>VLOOKUP(F594,Sheet1!$B$1:$D$41,2,FALSE)</f>
        <v>James</v>
      </c>
      <c r="I594">
        <f>VLOOKUP(E594,Sheet1!$B$1:$D$41,3,FALSE)</f>
        <v>1177922</v>
      </c>
      <c r="J594">
        <f>VLOOKUP(F594,Sheet1!$B$1:$D$41,3,FALSE)</f>
        <v>646361</v>
      </c>
    </row>
    <row r="595" spans="1:10" x14ac:dyDescent="0.25">
      <c r="A595">
        <f>A591+1</f>
        <v>23</v>
      </c>
      <c r="B595" s="1" t="s">
        <v>57</v>
      </c>
      <c r="C595" s="1" t="s">
        <v>14</v>
      </c>
      <c r="D595" s="1" t="s">
        <v>39</v>
      </c>
      <c r="E595" t="s">
        <v>58</v>
      </c>
      <c r="F595" t="s">
        <v>60</v>
      </c>
      <c r="G595" t="str">
        <f>VLOOKUP(E595,Sheet1!$B$1:$D$41,2,FALSE)</f>
        <v>Steven</v>
      </c>
      <c r="H595" t="str">
        <f>VLOOKUP(F595,Sheet1!$B$1:$D$41,2,FALSE)</f>
        <v>Keith</v>
      </c>
      <c r="I595">
        <f>VLOOKUP(E595,Sheet1!$B$1:$D$41,3,FALSE)</f>
        <v>705479</v>
      </c>
      <c r="J595">
        <f>VLOOKUP(F595,Sheet1!$B$1:$D$41,3,FALSE)</f>
        <v>2955410</v>
      </c>
    </row>
    <row r="596" spans="1:10" x14ac:dyDescent="0.25">
      <c r="A596">
        <v>23</v>
      </c>
      <c r="B596" s="1" t="s">
        <v>57</v>
      </c>
      <c r="C596" t="s">
        <v>37</v>
      </c>
      <c r="D596" t="s">
        <v>47</v>
      </c>
      <c r="E596" t="s">
        <v>63</v>
      </c>
      <c r="F596" t="s">
        <v>63</v>
      </c>
      <c r="I596">
        <v>0</v>
      </c>
      <c r="J596">
        <v>0</v>
      </c>
    </row>
    <row r="597" spans="1:10" x14ac:dyDescent="0.25">
      <c r="A597">
        <v>23</v>
      </c>
      <c r="B597" s="1" t="s">
        <v>57</v>
      </c>
      <c r="C597" t="s">
        <v>37</v>
      </c>
      <c r="D597" t="s">
        <v>47</v>
      </c>
      <c r="E597" t="s">
        <v>63</v>
      </c>
      <c r="F597" t="s">
        <v>63</v>
      </c>
      <c r="I597">
        <v>0</v>
      </c>
      <c r="J597">
        <v>0</v>
      </c>
    </row>
    <row r="598" spans="1:10" x14ac:dyDescent="0.25">
      <c r="A598">
        <f>A594+1</f>
        <v>24</v>
      </c>
      <c r="B598" s="1" t="s">
        <v>57</v>
      </c>
      <c r="C598" s="1" t="s">
        <v>14</v>
      </c>
      <c r="D598" s="1" t="s">
        <v>39</v>
      </c>
      <c r="E598" t="s">
        <v>59</v>
      </c>
      <c r="F598" t="s">
        <v>58</v>
      </c>
      <c r="G598" t="str">
        <f>VLOOKUP(E598,Sheet1!$B$1:$D$41,2,FALSE)</f>
        <v>Gavin</v>
      </c>
      <c r="H598" t="str">
        <f>VLOOKUP(F598,Sheet1!$B$1:$D$41,2,FALSE)</f>
        <v>Steven</v>
      </c>
      <c r="I598">
        <f>VLOOKUP(E598,Sheet1!$B$1:$D$41,3,FALSE)</f>
        <v>2957407</v>
      </c>
      <c r="J598">
        <f>VLOOKUP(F598,Sheet1!$B$1:$D$41,3,FALSE)</f>
        <v>705479</v>
      </c>
    </row>
    <row r="599" spans="1:10" x14ac:dyDescent="0.25">
      <c r="A599">
        <f>A595+1</f>
        <v>24</v>
      </c>
      <c r="B599" s="1" t="s">
        <v>57</v>
      </c>
      <c r="C599" s="1" t="s">
        <v>14</v>
      </c>
      <c r="D599" s="1" t="s">
        <v>39</v>
      </c>
      <c r="E599" t="s">
        <v>60</v>
      </c>
      <c r="F599" t="s">
        <v>27</v>
      </c>
      <c r="G599" t="str">
        <f>VLOOKUP(E599,Sheet1!$B$1:$D$41,2,FALSE)</f>
        <v>Keith</v>
      </c>
      <c r="H599" t="str">
        <f>VLOOKUP(F599,Sheet1!$B$1:$D$41,2,FALSE)</f>
        <v>Gordon</v>
      </c>
      <c r="I599">
        <f>VLOOKUP(E599,Sheet1!$B$1:$D$41,3,FALSE)</f>
        <v>2955410</v>
      </c>
      <c r="J599">
        <f>VLOOKUP(F599,Sheet1!$B$1:$D$41,3,FALSE)</f>
        <v>1177922</v>
      </c>
    </row>
    <row r="600" spans="1:10" x14ac:dyDescent="0.25">
      <c r="A600">
        <f>A596+1</f>
        <v>24</v>
      </c>
      <c r="B600" s="1" t="s">
        <v>57</v>
      </c>
      <c r="C600" s="1" t="s">
        <v>14</v>
      </c>
      <c r="D600" s="1" t="s">
        <v>39</v>
      </c>
      <c r="E600" t="s">
        <v>61</v>
      </c>
      <c r="F600" t="s">
        <v>23</v>
      </c>
      <c r="G600" t="str">
        <f>VLOOKUP(E600,Sheet1!$B$1:$D$41,2,FALSE)</f>
        <v>James</v>
      </c>
      <c r="H600" t="str">
        <f>VLOOKUP(F600,Sheet1!$B$1:$D$41,2,FALSE)</f>
        <v>Simon</v>
      </c>
      <c r="I600">
        <f>VLOOKUP(E600,Sheet1!$B$1:$D$41,3,FALSE)</f>
        <v>646361</v>
      </c>
      <c r="J600">
        <f>VLOOKUP(F600,Sheet1!$B$1:$D$41,3,FALSE)</f>
        <v>2438184</v>
      </c>
    </row>
    <row r="601" spans="1:10" x14ac:dyDescent="0.25">
      <c r="A601">
        <f>A597+1</f>
        <v>24</v>
      </c>
      <c r="B601" s="1" t="s">
        <v>57</v>
      </c>
      <c r="C601" s="1" t="s">
        <v>14</v>
      </c>
      <c r="D601" s="1" t="s">
        <v>39</v>
      </c>
      <c r="E601" t="s">
        <v>62</v>
      </c>
      <c r="F601" t="s">
        <v>51</v>
      </c>
      <c r="G601" t="str">
        <f>VLOOKUP(E601,Sheet1!$B$1:$D$41,2,FALSE)</f>
        <v>Walid</v>
      </c>
      <c r="H601" t="str">
        <f>VLOOKUP(F601,Sheet1!$B$1:$D$41,2,FALSE)</f>
        <v>Andy</v>
      </c>
      <c r="I601">
        <f>VLOOKUP(E601,Sheet1!$B$1:$D$41,3,FALSE)</f>
        <v>2955408</v>
      </c>
      <c r="J601">
        <f>VLOOKUP(F601,Sheet1!$B$1:$D$41,3,FALSE)</f>
        <v>2564951</v>
      </c>
    </row>
    <row r="602" spans="1:10" x14ac:dyDescent="0.25">
      <c r="A602">
        <v>24</v>
      </c>
      <c r="B602" s="1" t="s">
        <v>57</v>
      </c>
      <c r="C602" t="s">
        <v>37</v>
      </c>
      <c r="D602" t="s">
        <v>47</v>
      </c>
      <c r="E602" t="s">
        <v>63</v>
      </c>
      <c r="F602" t="s">
        <v>63</v>
      </c>
      <c r="I602">
        <v>0</v>
      </c>
      <c r="J602">
        <v>0</v>
      </c>
    </row>
    <row r="603" spans="1:10" x14ac:dyDescent="0.25">
      <c r="A603">
        <v>24</v>
      </c>
      <c r="B603" s="1" t="s">
        <v>57</v>
      </c>
      <c r="C603" t="s">
        <v>37</v>
      </c>
      <c r="D603" t="s">
        <v>47</v>
      </c>
      <c r="E603" t="s">
        <v>63</v>
      </c>
      <c r="F603" t="s">
        <v>63</v>
      </c>
      <c r="I603">
        <v>0</v>
      </c>
      <c r="J603">
        <v>0</v>
      </c>
    </row>
    <row r="604" spans="1:10" x14ac:dyDescent="0.25">
      <c r="A604">
        <f>A600+1</f>
        <v>25</v>
      </c>
      <c r="B604" s="1" t="s">
        <v>57</v>
      </c>
      <c r="C604" s="1" t="s">
        <v>14</v>
      </c>
      <c r="D604" s="1" t="s">
        <v>39</v>
      </c>
      <c r="E604" t="s">
        <v>23</v>
      </c>
      <c r="F604" t="s">
        <v>59</v>
      </c>
      <c r="G604" t="str">
        <f>VLOOKUP(E604,Sheet1!$B$1:$D$41,2,FALSE)</f>
        <v>Simon</v>
      </c>
      <c r="H604" t="str">
        <f>VLOOKUP(F604,Sheet1!$B$1:$D$41,2,FALSE)</f>
        <v>Gavin</v>
      </c>
      <c r="I604">
        <f>VLOOKUP(E604,Sheet1!$B$1:$D$41,3,FALSE)</f>
        <v>2438184</v>
      </c>
      <c r="J604">
        <f>VLOOKUP(F604,Sheet1!$B$1:$D$41,3,FALSE)</f>
        <v>2957407</v>
      </c>
    </row>
    <row r="605" spans="1:10" x14ac:dyDescent="0.25">
      <c r="A605">
        <f>A601+1</f>
        <v>25</v>
      </c>
      <c r="B605" s="1" t="s">
        <v>57</v>
      </c>
      <c r="C605" s="1" t="s">
        <v>14</v>
      </c>
      <c r="D605" s="1" t="s">
        <v>39</v>
      </c>
      <c r="E605" t="s">
        <v>27</v>
      </c>
      <c r="F605" t="s">
        <v>51</v>
      </c>
      <c r="G605" t="str">
        <f>VLOOKUP(E605,Sheet1!$B$1:$D$41,2,FALSE)</f>
        <v>Gordon</v>
      </c>
      <c r="H605" t="str">
        <f>VLOOKUP(F605,Sheet1!$B$1:$D$41,2,FALSE)</f>
        <v>Andy</v>
      </c>
      <c r="I605">
        <f>VLOOKUP(E605,Sheet1!$B$1:$D$41,3,FALSE)</f>
        <v>1177922</v>
      </c>
      <c r="J605">
        <f>VLOOKUP(F605,Sheet1!$B$1:$D$41,3,FALSE)</f>
        <v>2564951</v>
      </c>
    </row>
    <row r="606" spans="1:10" x14ac:dyDescent="0.25">
      <c r="A606">
        <f>A602+1</f>
        <v>25</v>
      </c>
      <c r="B606" s="1" t="s">
        <v>57</v>
      </c>
      <c r="C606" s="1" t="s">
        <v>14</v>
      </c>
      <c r="D606" s="1" t="s">
        <v>39</v>
      </c>
      <c r="E606" t="s">
        <v>58</v>
      </c>
      <c r="F606" t="s">
        <v>62</v>
      </c>
      <c r="G606" t="str">
        <f>VLOOKUP(E606,Sheet1!$B$1:$D$41,2,FALSE)</f>
        <v>Steven</v>
      </c>
      <c r="H606" t="str">
        <f>VLOOKUP(F606,Sheet1!$B$1:$D$41,2,FALSE)</f>
        <v>Walid</v>
      </c>
      <c r="I606">
        <f>VLOOKUP(E606,Sheet1!$B$1:$D$41,3,FALSE)</f>
        <v>705479</v>
      </c>
      <c r="J606">
        <f>VLOOKUP(F606,Sheet1!$B$1:$D$41,3,FALSE)</f>
        <v>2955408</v>
      </c>
    </row>
    <row r="607" spans="1:10" x14ac:dyDescent="0.25">
      <c r="A607">
        <f>A603+1</f>
        <v>25</v>
      </c>
      <c r="B607" s="1" t="s">
        <v>57</v>
      </c>
      <c r="C607" s="1" t="s">
        <v>14</v>
      </c>
      <c r="D607" s="1" t="s">
        <v>39</v>
      </c>
      <c r="E607" t="s">
        <v>60</v>
      </c>
      <c r="F607" t="s">
        <v>61</v>
      </c>
      <c r="G607" t="str">
        <f>VLOOKUP(E607,Sheet1!$B$1:$D$41,2,FALSE)</f>
        <v>Keith</v>
      </c>
      <c r="H607" t="str">
        <f>VLOOKUP(F607,Sheet1!$B$1:$D$41,2,FALSE)</f>
        <v>James</v>
      </c>
      <c r="I607">
        <f>VLOOKUP(E607,Sheet1!$B$1:$D$41,3,FALSE)</f>
        <v>2955410</v>
      </c>
      <c r="J607">
        <f>VLOOKUP(F607,Sheet1!$B$1:$D$41,3,FALSE)</f>
        <v>646361</v>
      </c>
    </row>
    <row r="608" spans="1:10" x14ac:dyDescent="0.25">
      <c r="A608">
        <v>25</v>
      </c>
      <c r="B608" s="1" t="s">
        <v>57</v>
      </c>
      <c r="C608" t="s">
        <v>37</v>
      </c>
      <c r="D608" t="s">
        <v>48</v>
      </c>
      <c r="E608" t="s">
        <v>63</v>
      </c>
      <c r="F608" t="s">
        <v>63</v>
      </c>
      <c r="I608">
        <v>0</v>
      </c>
      <c r="J608">
        <v>0</v>
      </c>
    </row>
    <row r="609" spans="1:10" x14ac:dyDescent="0.25">
      <c r="A609">
        <v>25</v>
      </c>
      <c r="B609" s="1" t="s">
        <v>57</v>
      </c>
      <c r="C609" t="s">
        <v>37</v>
      </c>
      <c r="D609" t="s">
        <v>48</v>
      </c>
      <c r="E609" t="s">
        <v>63</v>
      </c>
      <c r="F609" t="s">
        <v>63</v>
      </c>
      <c r="I609">
        <v>0</v>
      </c>
      <c r="J609">
        <v>0</v>
      </c>
    </row>
    <row r="610" spans="1:10" x14ac:dyDescent="0.25">
      <c r="A610">
        <f>A606+1</f>
        <v>26</v>
      </c>
      <c r="B610" s="1" t="s">
        <v>57</v>
      </c>
      <c r="C610" s="1" t="s">
        <v>14</v>
      </c>
      <c r="D610" s="1" t="s">
        <v>39</v>
      </c>
      <c r="E610" t="s">
        <v>59</v>
      </c>
      <c r="F610" t="s">
        <v>60</v>
      </c>
      <c r="G610" t="str">
        <f>VLOOKUP(E610,Sheet1!$B$1:$D$41,2,FALSE)</f>
        <v>Gavin</v>
      </c>
      <c r="H610" t="str">
        <f>VLOOKUP(F610,Sheet1!$B$1:$D$41,2,FALSE)</f>
        <v>Keith</v>
      </c>
      <c r="I610">
        <f>VLOOKUP(E610,Sheet1!$B$1:$D$41,3,FALSE)</f>
        <v>2957407</v>
      </c>
      <c r="J610">
        <f>VLOOKUP(F610,Sheet1!$B$1:$D$41,3,FALSE)</f>
        <v>2955410</v>
      </c>
    </row>
    <row r="611" spans="1:10" x14ac:dyDescent="0.25">
      <c r="A611">
        <f>A607+1</f>
        <v>26</v>
      </c>
      <c r="B611" s="1" t="s">
        <v>57</v>
      </c>
      <c r="C611" s="1" t="s">
        <v>14</v>
      </c>
      <c r="D611" s="1" t="s">
        <v>39</v>
      </c>
      <c r="E611" t="s">
        <v>61</v>
      </c>
      <c r="F611" t="s">
        <v>58</v>
      </c>
      <c r="G611" t="str">
        <f>VLOOKUP(E611,Sheet1!$B$1:$D$41,2,FALSE)</f>
        <v>James</v>
      </c>
      <c r="H611" t="str">
        <f>VLOOKUP(F611,Sheet1!$B$1:$D$41,2,FALSE)</f>
        <v>Steven</v>
      </c>
      <c r="I611">
        <f>VLOOKUP(E611,Sheet1!$B$1:$D$41,3,FALSE)</f>
        <v>646361</v>
      </c>
      <c r="J611">
        <f>VLOOKUP(F611,Sheet1!$B$1:$D$41,3,FALSE)</f>
        <v>705479</v>
      </c>
    </row>
    <row r="612" spans="1:10" x14ac:dyDescent="0.25">
      <c r="A612">
        <f>A608+1</f>
        <v>26</v>
      </c>
      <c r="B612" s="1" t="s">
        <v>57</v>
      </c>
      <c r="C612" s="1" t="s">
        <v>14</v>
      </c>
      <c r="D612" s="1" t="s">
        <v>39</v>
      </c>
      <c r="E612" t="s">
        <v>62</v>
      </c>
      <c r="F612" t="s">
        <v>27</v>
      </c>
      <c r="G612" t="str">
        <f>VLOOKUP(E612,Sheet1!$B$1:$D$41,2,FALSE)</f>
        <v>Walid</v>
      </c>
      <c r="H612" t="str">
        <f>VLOOKUP(F612,Sheet1!$B$1:$D$41,2,FALSE)</f>
        <v>Gordon</v>
      </c>
      <c r="I612">
        <f>VLOOKUP(E612,Sheet1!$B$1:$D$41,3,FALSE)</f>
        <v>2955408</v>
      </c>
      <c r="J612">
        <f>VLOOKUP(F612,Sheet1!$B$1:$D$41,3,FALSE)</f>
        <v>1177922</v>
      </c>
    </row>
    <row r="613" spans="1:10" x14ac:dyDescent="0.25">
      <c r="A613">
        <f>A609+1</f>
        <v>26</v>
      </c>
      <c r="B613" s="1" t="s">
        <v>57</v>
      </c>
      <c r="C613" s="1" t="s">
        <v>14</v>
      </c>
      <c r="D613" s="1" t="s">
        <v>39</v>
      </c>
      <c r="E613" t="s">
        <v>51</v>
      </c>
      <c r="F613" t="s">
        <v>23</v>
      </c>
      <c r="G613" t="str">
        <f>VLOOKUP(E613,Sheet1!$B$1:$D$41,2,FALSE)</f>
        <v>Andy</v>
      </c>
      <c r="H613" t="str">
        <f>VLOOKUP(F613,Sheet1!$B$1:$D$41,2,FALSE)</f>
        <v>Simon</v>
      </c>
      <c r="I613">
        <f>VLOOKUP(E613,Sheet1!$B$1:$D$41,3,FALSE)</f>
        <v>2564951</v>
      </c>
      <c r="J613">
        <f>VLOOKUP(F613,Sheet1!$B$1:$D$41,3,FALSE)</f>
        <v>2438184</v>
      </c>
    </row>
    <row r="614" spans="1:10" x14ac:dyDescent="0.25">
      <c r="A614">
        <f>A610+1</f>
        <v>27</v>
      </c>
      <c r="B614" s="1" t="s">
        <v>57</v>
      </c>
      <c r="C614" s="1" t="s">
        <v>14</v>
      </c>
      <c r="D614" s="1" t="s">
        <v>39</v>
      </c>
      <c r="E614" t="s">
        <v>27</v>
      </c>
      <c r="F614" t="s">
        <v>59</v>
      </c>
      <c r="G614" t="str">
        <f>VLOOKUP(E614,Sheet1!$B$1:$D$41,2,FALSE)</f>
        <v>Gordon</v>
      </c>
      <c r="H614" t="str">
        <f>VLOOKUP(F614,Sheet1!$B$1:$D$41,2,FALSE)</f>
        <v>Gavin</v>
      </c>
      <c r="I614">
        <f>VLOOKUP(E614,Sheet1!$B$1:$D$41,3,FALSE)</f>
        <v>1177922</v>
      </c>
      <c r="J614">
        <f>VLOOKUP(F614,Sheet1!$B$1:$D$41,3,FALSE)</f>
        <v>2957407</v>
      </c>
    </row>
    <row r="615" spans="1:10" x14ac:dyDescent="0.25">
      <c r="A615">
        <f>A611+1</f>
        <v>27</v>
      </c>
      <c r="B615" s="1" t="s">
        <v>57</v>
      </c>
      <c r="C615" s="1" t="s">
        <v>14</v>
      </c>
      <c r="D615" s="1" t="s">
        <v>39</v>
      </c>
      <c r="E615" t="s">
        <v>58</v>
      </c>
      <c r="F615" t="s">
        <v>23</v>
      </c>
      <c r="G615" t="str">
        <f>VLOOKUP(E615,Sheet1!$B$1:$D$41,2,FALSE)</f>
        <v>Steven</v>
      </c>
      <c r="H615" t="str">
        <f>VLOOKUP(F615,Sheet1!$B$1:$D$41,2,FALSE)</f>
        <v>Simon</v>
      </c>
      <c r="I615">
        <f>VLOOKUP(E615,Sheet1!$B$1:$D$41,3,FALSE)</f>
        <v>705479</v>
      </c>
      <c r="J615">
        <f>VLOOKUP(F615,Sheet1!$B$1:$D$41,3,FALSE)</f>
        <v>2438184</v>
      </c>
    </row>
    <row r="616" spans="1:10" x14ac:dyDescent="0.25">
      <c r="A616">
        <f>A612+1</f>
        <v>27</v>
      </c>
      <c r="B616" s="1" t="s">
        <v>57</v>
      </c>
      <c r="C616" s="1" t="s">
        <v>14</v>
      </c>
      <c r="D616" s="1" t="s">
        <v>39</v>
      </c>
      <c r="E616" t="s">
        <v>60</v>
      </c>
      <c r="F616" t="s">
        <v>51</v>
      </c>
      <c r="G616" t="str">
        <f>VLOOKUP(E616,Sheet1!$B$1:$D$41,2,FALSE)</f>
        <v>Keith</v>
      </c>
      <c r="H616" t="str">
        <f>VLOOKUP(F616,Sheet1!$B$1:$D$41,2,FALSE)</f>
        <v>Andy</v>
      </c>
      <c r="I616">
        <f>VLOOKUP(E616,Sheet1!$B$1:$D$41,3,FALSE)</f>
        <v>2955410</v>
      </c>
      <c r="J616">
        <f>VLOOKUP(F616,Sheet1!$B$1:$D$41,3,FALSE)</f>
        <v>2564951</v>
      </c>
    </row>
    <row r="617" spans="1:10" x14ac:dyDescent="0.25">
      <c r="A617">
        <f>A613+1</f>
        <v>27</v>
      </c>
      <c r="B617" s="1" t="s">
        <v>57</v>
      </c>
      <c r="C617" s="1" t="s">
        <v>14</v>
      </c>
      <c r="D617" s="1" t="s">
        <v>39</v>
      </c>
      <c r="E617" t="s">
        <v>61</v>
      </c>
      <c r="F617" t="s">
        <v>62</v>
      </c>
      <c r="G617" t="str">
        <f>VLOOKUP(E617,Sheet1!$B$1:$D$41,2,FALSE)</f>
        <v>James</v>
      </c>
      <c r="H617" t="str">
        <f>VLOOKUP(F617,Sheet1!$B$1:$D$41,2,FALSE)</f>
        <v>Walid</v>
      </c>
      <c r="I617">
        <f>VLOOKUP(E617,Sheet1!$B$1:$D$41,3,FALSE)</f>
        <v>646361</v>
      </c>
      <c r="J617">
        <f>VLOOKUP(F617,Sheet1!$B$1:$D$41,3,FALSE)</f>
        <v>2955408</v>
      </c>
    </row>
    <row r="618" spans="1:10" x14ac:dyDescent="0.25">
      <c r="A618">
        <f>A614+1</f>
        <v>28</v>
      </c>
      <c r="B618" s="1" t="s">
        <v>57</v>
      </c>
      <c r="C618" s="1" t="s">
        <v>14</v>
      </c>
      <c r="D618" s="1" t="s">
        <v>39</v>
      </c>
      <c r="E618" t="s">
        <v>59</v>
      </c>
      <c r="F618" t="s">
        <v>61</v>
      </c>
      <c r="G618" t="str">
        <f>VLOOKUP(E618,Sheet1!$B$1:$D$41,2,FALSE)</f>
        <v>Gavin</v>
      </c>
      <c r="H618" t="str">
        <f>VLOOKUP(F618,Sheet1!$B$1:$D$41,2,FALSE)</f>
        <v>James</v>
      </c>
      <c r="I618">
        <f>VLOOKUP(E618,Sheet1!$B$1:$D$41,3,FALSE)</f>
        <v>2957407</v>
      </c>
      <c r="J618">
        <f>VLOOKUP(F618,Sheet1!$B$1:$D$41,3,FALSE)</f>
        <v>646361</v>
      </c>
    </row>
    <row r="619" spans="1:10" x14ac:dyDescent="0.25">
      <c r="A619">
        <f>A615+1</f>
        <v>28</v>
      </c>
      <c r="B619" s="1" t="s">
        <v>57</v>
      </c>
      <c r="C619" s="1" t="s">
        <v>14</v>
      </c>
      <c r="D619" s="1" t="s">
        <v>39</v>
      </c>
      <c r="E619" t="s">
        <v>62</v>
      </c>
      <c r="F619" t="s">
        <v>60</v>
      </c>
      <c r="G619" t="str">
        <f>VLOOKUP(E619,Sheet1!$B$1:$D$41,2,FALSE)</f>
        <v>Walid</v>
      </c>
      <c r="H619" t="str">
        <f>VLOOKUP(F619,Sheet1!$B$1:$D$41,2,FALSE)</f>
        <v>Keith</v>
      </c>
      <c r="I619">
        <f>VLOOKUP(E619,Sheet1!$B$1:$D$41,3,FALSE)</f>
        <v>2955408</v>
      </c>
      <c r="J619">
        <f>VLOOKUP(F619,Sheet1!$B$1:$D$41,3,FALSE)</f>
        <v>2955410</v>
      </c>
    </row>
    <row r="620" spans="1:10" x14ac:dyDescent="0.25">
      <c r="A620">
        <f>A616+1</f>
        <v>28</v>
      </c>
      <c r="B620" s="1" t="s">
        <v>57</v>
      </c>
      <c r="C620" s="1" t="s">
        <v>14</v>
      </c>
      <c r="D620" s="1" t="s">
        <v>39</v>
      </c>
      <c r="E620" t="s">
        <v>51</v>
      </c>
      <c r="F620" t="s">
        <v>58</v>
      </c>
      <c r="G620" t="str">
        <f>VLOOKUP(E620,Sheet1!$B$1:$D$41,2,FALSE)</f>
        <v>Andy</v>
      </c>
      <c r="H620" t="str">
        <f>VLOOKUP(F620,Sheet1!$B$1:$D$41,2,FALSE)</f>
        <v>Steven</v>
      </c>
      <c r="I620">
        <f>VLOOKUP(E620,Sheet1!$B$1:$D$41,3,FALSE)</f>
        <v>2564951</v>
      </c>
      <c r="J620">
        <f>VLOOKUP(F620,Sheet1!$B$1:$D$41,3,FALSE)</f>
        <v>705479</v>
      </c>
    </row>
    <row r="621" spans="1:10" x14ac:dyDescent="0.25">
      <c r="A621">
        <f>A617+1</f>
        <v>28</v>
      </c>
      <c r="B621" s="1" t="s">
        <v>57</v>
      </c>
      <c r="C621" s="1" t="s">
        <v>14</v>
      </c>
      <c r="D621" s="1" t="s">
        <v>39</v>
      </c>
      <c r="E621" t="s">
        <v>23</v>
      </c>
      <c r="F621" t="s">
        <v>27</v>
      </c>
      <c r="G621" t="str">
        <f>VLOOKUP(E621,Sheet1!$B$1:$D$41,2,FALSE)</f>
        <v>Simon</v>
      </c>
      <c r="H621" t="str">
        <f>VLOOKUP(F621,Sheet1!$B$1:$D$41,2,FALSE)</f>
        <v>Gordon</v>
      </c>
      <c r="I621">
        <f>VLOOKUP(E621,Sheet1!$B$1:$D$41,3,FALSE)</f>
        <v>2438184</v>
      </c>
      <c r="J621">
        <f>VLOOKUP(F621,Sheet1!$B$1:$D$41,3,FALSE)</f>
        <v>1177922</v>
      </c>
    </row>
    <row r="622" spans="1:10" x14ac:dyDescent="0.25">
      <c r="A622">
        <f>A618+1</f>
        <v>29</v>
      </c>
      <c r="B622" s="1" t="s">
        <v>57</v>
      </c>
      <c r="C622" s="1" t="s">
        <v>14</v>
      </c>
      <c r="D622" s="1" t="s">
        <v>39</v>
      </c>
      <c r="E622" t="s">
        <v>62</v>
      </c>
      <c r="F622" t="s">
        <v>59</v>
      </c>
      <c r="G622" t="str">
        <f>VLOOKUP(E622,Sheet1!$B$1:$D$41,2,FALSE)</f>
        <v>Walid</v>
      </c>
      <c r="H622" t="str">
        <f>VLOOKUP(F622,Sheet1!$B$1:$D$41,2,FALSE)</f>
        <v>Gavin</v>
      </c>
      <c r="I622">
        <f>VLOOKUP(E622,Sheet1!$B$1:$D$41,3,FALSE)</f>
        <v>2955408</v>
      </c>
      <c r="J622">
        <f>VLOOKUP(F622,Sheet1!$B$1:$D$41,3,FALSE)</f>
        <v>2957407</v>
      </c>
    </row>
    <row r="623" spans="1:10" x14ac:dyDescent="0.25">
      <c r="A623">
        <f>A619+1</f>
        <v>29</v>
      </c>
      <c r="B623" s="1" t="s">
        <v>57</v>
      </c>
      <c r="C623" s="1" t="s">
        <v>14</v>
      </c>
      <c r="D623" s="1" t="s">
        <v>39</v>
      </c>
      <c r="E623" t="s">
        <v>51</v>
      </c>
      <c r="F623" t="s">
        <v>61</v>
      </c>
      <c r="G623" t="str">
        <f>VLOOKUP(E623,Sheet1!$B$1:$D$41,2,FALSE)</f>
        <v>Andy</v>
      </c>
      <c r="H623" t="str">
        <f>VLOOKUP(F623,Sheet1!$B$1:$D$41,2,FALSE)</f>
        <v>James</v>
      </c>
      <c r="I623">
        <f>VLOOKUP(E623,Sheet1!$B$1:$D$41,3,FALSE)</f>
        <v>2564951</v>
      </c>
      <c r="J623">
        <f>VLOOKUP(F623,Sheet1!$B$1:$D$41,3,FALSE)</f>
        <v>646361</v>
      </c>
    </row>
    <row r="624" spans="1:10" x14ac:dyDescent="0.25">
      <c r="A624">
        <f>A620+1</f>
        <v>29</v>
      </c>
      <c r="B624" s="1" t="s">
        <v>57</v>
      </c>
      <c r="C624" s="1" t="s">
        <v>14</v>
      </c>
      <c r="D624" s="1" t="s">
        <v>39</v>
      </c>
      <c r="E624" t="s">
        <v>23</v>
      </c>
      <c r="F624" t="s">
        <v>60</v>
      </c>
      <c r="G624" t="str">
        <f>VLOOKUP(E624,Sheet1!$B$1:$D$41,2,FALSE)</f>
        <v>Simon</v>
      </c>
      <c r="H624" t="str">
        <f>VLOOKUP(F624,Sheet1!$B$1:$D$41,2,FALSE)</f>
        <v>Keith</v>
      </c>
      <c r="I624">
        <f>VLOOKUP(E624,Sheet1!$B$1:$D$41,3,FALSE)</f>
        <v>2438184</v>
      </c>
      <c r="J624">
        <f>VLOOKUP(F624,Sheet1!$B$1:$D$41,3,FALSE)</f>
        <v>2955410</v>
      </c>
    </row>
    <row r="625" spans="1:10" x14ac:dyDescent="0.25">
      <c r="A625">
        <f>A621+1</f>
        <v>29</v>
      </c>
      <c r="B625" s="1" t="s">
        <v>57</v>
      </c>
      <c r="C625" s="1" t="s">
        <v>14</v>
      </c>
      <c r="D625" s="1" t="s">
        <v>39</v>
      </c>
      <c r="E625" t="s">
        <v>27</v>
      </c>
      <c r="F625" t="s">
        <v>58</v>
      </c>
      <c r="G625" t="str">
        <f>VLOOKUP(E625,Sheet1!$B$1:$D$41,2,FALSE)</f>
        <v>Gordon</v>
      </c>
      <c r="H625" t="str">
        <f>VLOOKUP(F625,Sheet1!$B$1:$D$41,2,FALSE)</f>
        <v>Steven</v>
      </c>
      <c r="I625">
        <f>VLOOKUP(E625,Sheet1!$B$1:$D$41,3,FALSE)</f>
        <v>1177922</v>
      </c>
      <c r="J625">
        <f>VLOOKUP(F625,Sheet1!$B$1:$D$41,3,FALSE)</f>
        <v>705479</v>
      </c>
    </row>
    <row r="626" spans="1:10" x14ac:dyDescent="0.25">
      <c r="A626">
        <f>A622+1</f>
        <v>30</v>
      </c>
      <c r="B626" s="1" t="s">
        <v>57</v>
      </c>
      <c r="C626" s="1" t="s">
        <v>14</v>
      </c>
      <c r="D626" s="1" t="s">
        <v>39</v>
      </c>
      <c r="E626" t="s">
        <v>51</v>
      </c>
      <c r="F626" t="s">
        <v>59</v>
      </c>
      <c r="G626" t="str">
        <f>VLOOKUP(E626,Sheet1!$B$1:$D$41,2,FALSE)</f>
        <v>Andy</v>
      </c>
      <c r="H626" t="str">
        <f>VLOOKUP(F626,Sheet1!$B$1:$D$41,2,FALSE)</f>
        <v>Gavin</v>
      </c>
      <c r="I626">
        <f>VLOOKUP(E626,Sheet1!$B$1:$D$41,3,FALSE)</f>
        <v>2564951</v>
      </c>
      <c r="J626">
        <f>VLOOKUP(F626,Sheet1!$B$1:$D$41,3,FALSE)</f>
        <v>2957407</v>
      </c>
    </row>
    <row r="627" spans="1:10" x14ac:dyDescent="0.25">
      <c r="A627">
        <f>A623+1</f>
        <v>30</v>
      </c>
      <c r="B627" s="1" t="s">
        <v>57</v>
      </c>
      <c r="C627" s="1" t="s">
        <v>14</v>
      </c>
      <c r="D627" s="1" t="s">
        <v>39</v>
      </c>
      <c r="E627" t="s">
        <v>23</v>
      </c>
      <c r="F627" t="s">
        <v>62</v>
      </c>
      <c r="G627" t="str">
        <f>VLOOKUP(E627,Sheet1!$B$1:$D$41,2,FALSE)</f>
        <v>Simon</v>
      </c>
      <c r="H627" t="str">
        <f>VLOOKUP(F627,Sheet1!$B$1:$D$41,2,FALSE)</f>
        <v>Walid</v>
      </c>
      <c r="I627">
        <f>VLOOKUP(E627,Sheet1!$B$1:$D$41,3,FALSE)</f>
        <v>2438184</v>
      </c>
      <c r="J627">
        <f>VLOOKUP(F627,Sheet1!$B$1:$D$41,3,FALSE)</f>
        <v>2955408</v>
      </c>
    </row>
    <row r="628" spans="1:10" x14ac:dyDescent="0.25">
      <c r="A628">
        <f>A624+1</f>
        <v>30</v>
      </c>
      <c r="B628" s="1" t="s">
        <v>57</v>
      </c>
      <c r="C628" s="1" t="s">
        <v>14</v>
      </c>
      <c r="D628" s="1" t="s">
        <v>39</v>
      </c>
      <c r="E628" t="s">
        <v>27</v>
      </c>
      <c r="F628" t="s">
        <v>61</v>
      </c>
      <c r="G628" t="str">
        <f>VLOOKUP(E628,Sheet1!$B$1:$D$41,2,FALSE)</f>
        <v>Gordon</v>
      </c>
      <c r="H628" t="str">
        <f>VLOOKUP(F628,Sheet1!$B$1:$D$41,2,FALSE)</f>
        <v>James</v>
      </c>
      <c r="I628">
        <f>VLOOKUP(E628,Sheet1!$B$1:$D$41,3,FALSE)</f>
        <v>1177922</v>
      </c>
      <c r="J628">
        <f>VLOOKUP(F628,Sheet1!$B$1:$D$41,3,FALSE)</f>
        <v>646361</v>
      </c>
    </row>
    <row r="629" spans="1:10" x14ac:dyDescent="0.25">
      <c r="A629">
        <f>A625+1</f>
        <v>30</v>
      </c>
      <c r="B629" s="1" t="s">
        <v>57</v>
      </c>
      <c r="C629" s="1" t="s">
        <v>14</v>
      </c>
      <c r="D629" s="1" t="s">
        <v>39</v>
      </c>
      <c r="E629" t="s">
        <v>58</v>
      </c>
      <c r="F629" t="s">
        <v>60</v>
      </c>
      <c r="G629" t="str">
        <f>VLOOKUP(E629,Sheet1!$B$1:$D$41,2,FALSE)</f>
        <v>Steven</v>
      </c>
      <c r="H629" t="str">
        <f>VLOOKUP(F629,Sheet1!$B$1:$D$41,2,FALSE)</f>
        <v>Keith</v>
      </c>
      <c r="I629">
        <f>VLOOKUP(E629,Sheet1!$B$1:$D$41,3,FALSE)</f>
        <v>705479</v>
      </c>
      <c r="J629">
        <f>VLOOKUP(F629,Sheet1!$B$1:$D$41,3,FALSE)</f>
        <v>2955410</v>
      </c>
    </row>
    <row r="630" spans="1:10" x14ac:dyDescent="0.25">
      <c r="A630">
        <f>A626+1</f>
        <v>31</v>
      </c>
      <c r="B630" s="1" t="s">
        <v>57</v>
      </c>
      <c r="C630" s="1" t="s">
        <v>14</v>
      </c>
      <c r="D630" s="1" t="s">
        <v>39</v>
      </c>
      <c r="E630" t="s">
        <v>59</v>
      </c>
      <c r="F630" t="s">
        <v>58</v>
      </c>
      <c r="G630" t="str">
        <f>VLOOKUP(E630,Sheet1!$B$1:$D$41,2,FALSE)</f>
        <v>Gavin</v>
      </c>
      <c r="H630" t="str">
        <f>VLOOKUP(F630,Sheet1!$B$1:$D$41,2,FALSE)</f>
        <v>Steven</v>
      </c>
      <c r="I630">
        <f>VLOOKUP(E630,Sheet1!$B$1:$D$41,3,FALSE)</f>
        <v>2957407</v>
      </c>
      <c r="J630">
        <f>VLOOKUP(F630,Sheet1!$B$1:$D$41,3,FALSE)</f>
        <v>705479</v>
      </c>
    </row>
    <row r="631" spans="1:10" x14ac:dyDescent="0.25">
      <c r="A631">
        <f>A627+1</f>
        <v>31</v>
      </c>
      <c r="B631" s="1" t="s">
        <v>57</v>
      </c>
      <c r="C631" s="1" t="s">
        <v>14</v>
      </c>
      <c r="D631" s="1" t="s">
        <v>39</v>
      </c>
      <c r="E631" t="s">
        <v>60</v>
      </c>
      <c r="F631" t="s">
        <v>27</v>
      </c>
      <c r="G631" t="str">
        <f>VLOOKUP(E631,Sheet1!$B$1:$D$41,2,FALSE)</f>
        <v>Keith</v>
      </c>
      <c r="H631" t="str">
        <f>VLOOKUP(F631,Sheet1!$B$1:$D$41,2,FALSE)</f>
        <v>Gordon</v>
      </c>
      <c r="I631">
        <f>VLOOKUP(E631,Sheet1!$B$1:$D$41,3,FALSE)</f>
        <v>2955410</v>
      </c>
      <c r="J631">
        <f>VLOOKUP(F631,Sheet1!$B$1:$D$41,3,FALSE)</f>
        <v>1177922</v>
      </c>
    </row>
    <row r="632" spans="1:10" x14ac:dyDescent="0.25">
      <c r="A632">
        <f>A628+1</f>
        <v>31</v>
      </c>
      <c r="B632" s="1" t="s">
        <v>57</v>
      </c>
      <c r="C632" s="1" t="s">
        <v>14</v>
      </c>
      <c r="D632" s="1" t="s">
        <v>39</v>
      </c>
      <c r="E632" t="s">
        <v>61</v>
      </c>
      <c r="F632" t="s">
        <v>23</v>
      </c>
      <c r="G632" t="str">
        <f>VLOOKUP(E632,Sheet1!$B$1:$D$41,2,FALSE)</f>
        <v>James</v>
      </c>
      <c r="H632" t="str">
        <f>VLOOKUP(F632,Sheet1!$B$1:$D$41,2,FALSE)</f>
        <v>Simon</v>
      </c>
      <c r="I632">
        <f>VLOOKUP(E632,Sheet1!$B$1:$D$41,3,FALSE)</f>
        <v>646361</v>
      </c>
      <c r="J632">
        <f>VLOOKUP(F632,Sheet1!$B$1:$D$41,3,FALSE)</f>
        <v>2438184</v>
      </c>
    </row>
    <row r="633" spans="1:10" x14ac:dyDescent="0.25">
      <c r="A633">
        <f>A629+1</f>
        <v>31</v>
      </c>
      <c r="B633" s="1" t="s">
        <v>57</v>
      </c>
      <c r="C633" s="1" t="s">
        <v>14</v>
      </c>
      <c r="D633" s="1" t="s">
        <v>39</v>
      </c>
      <c r="E633" t="s">
        <v>62</v>
      </c>
      <c r="F633" t="s">
        <v>51</v>
      </c>
      <c r="G633" t="str">
        <f>VLOOKUP(E633,Sheet1!$B$1:$D$41,2,FALSE)</f>
        <v>Walid</v>
      </c>
      <c r="H633" t="str">
        <f>VLOOKUP(F633,Sheet1!$B$1:$D$41,2,FALSE)</f>
        <v>Andy</v>
      </c>
      <c r="I633">
        <f>VLOOKUP(E633,Sheet1!$B$1:$D$41,3,FALSE)</f>
        <v>2955408</v>
      </c>
      <c r="J633">
        <f>VLOOKUP(F633,Sheet1!$B$1:$D$41,3,FALSE)</f>
        <v>2564951</v>
      </c>
    </row>
    <row r="634" spans="1:10" x14ac:dyDescent="0.25">
      <c r="A634">
        <f>A630+1</f>
        <v>32</v>
      </c>
      <c r="B634" s="1" t="s">
        <v>57</v>
      </c>
      <c r="C634" s="1" t="s">
        <v>14</v>
      </c>
      <c r="D634" s="1" t="s">
        <v>39</v>
      </c>
      <c r="E634" t="s">
        <v>23</v>
      </c>
      <c r="F634" t="s">
        <v>59</v>
      </c>
      <c r="G634" t="str">
        <f>VLOOKUP(E634,Sheet1!$B$1:$D$41,2,FALSE)</f>
        <v>Simon</v>
      </c>
      <c r="H634" t="str">
        <f>VLOOKUP(F634,Sheet1!$B$1:$D$41,2,FALSE)</f>
        <v>Gavin</v>
      </c>
      <c r="I634">
        <f>VLOOKUP(E634,Sheet1!$B$1:$D$41,3,FALSE)</f>
        <v>2438184</v>
      </c>
      <c r="J634">
        <f>VLOOKUP(F634,Sheet1!$B$1:$D$41,3,FALSE)</f>
        <v>2957407</v>
      </c>
    </row>
    <row r="635" spans="1:10" x14ac:dyDescent="0.25">
      <c r="A635">
        <f>A631+1</f>
        <v>32</v>
      </c>
      <c r="B635" s="1" t="s">
        <v>57</v>
      </c>
      <c r="C635" s="1" t="s">
        <v>14</v>
      </c>
      <c r="D635" s="1" t="s">
        <v>39</v>
      </c>
      <c r="E635" t="s">
        <v>27</v>
      </c>
      <c r="F635" t="s">
        <v>51</v>
      </c>
      <c r="G635" t="str">
        <f>VLOOKUP(E635,Sheet1!$B$1:$D$41,2,FALSE)</f>
        <v>Gordon</v>
      </c>
      <c r="H635" t="str">
        <f>VLOOKUP(F635,Sheet1!$B$1:$D$41,2,FALSE)</f>
        <v>Andy</v>
      </c>
      <c r="I635">
        <f>VLOOKUP(E635,Sheet1!$B$1:$D$41,3,FALSE)</f>
        <v>1177922</v>
      </c>
      <c r="J635">
        <f>VLOOKUP(F635,Sheet1!$B$1:$D$41,3,FALSE)</f>
        <v>2564951</v>
      </c>
    </row>
    <row r="636" spans="1:10" x14ac:dyDescent="0.25">
      <c r="A636">
        <f>A632+1</f>
        <v>32</v>
      </c>
      <c r="B636" s="1" t="s">
        <v>57</v>
      </c>
      <c r="C636" s="1" t="s">
        <v>14</v>
      </c>
      <c r="D636" s="1" t="s">
        <v>39</v>
      </c>
      <c r="E636" t="s">
        <v>58</v>
      </c>
      <c r="F636" t="s">
        <v>62</v>
      </c>
      <c r="G636" t="str">
        <f>VLOOKUP(E636,Sheet1!$B$1:$D$41,2,FALSE)</f>
        <v>Steven</v>
      </c>
      <c r="H636" t="str">
        <f>VLOOKUP(F636,Sheet1!$B$1:$D$41,2,FALSE)</f>
        <v>Walid</v>
      </c>
      <c r="I636">
        <f>VLOOKUP(E636,Sheet1!$B$1:$D$41,3,FALSE)</f>
        <v>705479</v>
      </c>
      <c r="J636">
        <f>VLOOKUP(F636,Sheet1!$B$1:$D$41,3,FALSE)</f>
        <v>2955408</v>
      </c>
    </row>
    <row r="637" spans="1:10" x14ac:dyDescent="0.25">
      <c r="A637">
        <f>A633+1</f>
        <v>32</v>
      </c>
      <c r="B637" s="1" t="s">
        <v>57</v>
      </c>
      <c r="C637" s="1" t="s">
        <v>14</v>
      </c>
      <c r="D637" s="1" t="s">
        <v>39</v>
      </c>
      <c r="E637" t="s">
        <v>60</v>
      </c>
      <c r="F637" t="s">
        <v>61</v>
      </c>
      <c r="G637" t="str">
        <f>VLOOKUP(E637,Sheet1!$B$1:$D$41,2,FALSE)</f>
        <v>Keith</v>
      </c>
      <c r="H637" t="str">
        <f>VLOOKUP(F637,Sheet1!$B$1:$D$41,2,FALSE)</f>
        <v>James</v>
      </c>
      <c r="I637">
        <f>VLOOKUP(E637,Sheet1!$B$1:$D$41,3,FALSE)</f>
        <v>2955410</v>
      </c>
      <c r="J637">
        <f>VLOOKUP(F637,Sheet1!$B$1:$D$41,3,FALSE)</f>
        <v>646361</v>
      </c>
    </row>
    <row r="638" spans="1:10" x14ac:dyDescent="0.25">
      <c r="A638">
        <f>A634+1</f>
        <v>33</v>
      </c>
      <c r="B638" s="1" t="s">
        <v>57</v>
      </c>
      <c r="C638" s="1" t="s">
        <v>14</v>
      </c>
      <c r="D638" s="1" t="s">
        <v>39</v>
      </c>
      <c r="E638" t="s">
        <v>59</v>
      </c>
      <c r="F638" t="s">
        <v>60</v>
      </c>
      <c r="G638" t="str">
        <f>VLOOKUP(E638,Sheet1!$B$1:$D$41,2,FALSE)</f>
        <v>Gavin</v>
      </c>
      <c r="H638" t="str">
        <f>VLOOKUP(F638,Sheet1!$B$1:$D$41,2,FALSE)</f>
        <v>Keith</v>
      </c>
      <c r="I638">
        <f>VLOOKUP(E638,Sheet1!$B$1:$D$41,3,FALSE)</f>
        <v>2957407</v>
      </c>
      <c r="J638">
        <f>VLOOKUP(F638,Sheet1!$B$1:$D$41,3,FALSE)</f>
        <v>2955410</v>
      </c>
    </row>
    <row r="639" spans="1:10" x14ac:dyDescent="0.25">
      <c r="A639">
        <f>A635+1</f>
        <v>33</v>
      </c>
      <c r="B639" s="1" t="s">
        <v>57</v>
      </c>
      <c r="C639" s="1" t="s">
        <v>14</v>
      </c>
      <c r="D639" s="1" t="s">
        <v>39</v>
      </c>
      <c r="E639" t="s">
        <v>61</v>
      </c>
      <c r="F639" t="s">
        <v>58</v>
      </c>
      <c r="G639" t="str">
        <f>VLOOKUP(E639,Sheet1!$B$1:$D$41,2,FALSE)</f>
        <v>James</v>
      </c>
      <c r="H639" t="str">
        <f>VLOOKUP(F639,Sheet1!$B$1:$D$41,2,FALSE)</f>
        <v>Steven</v>
      </c>
      <c r="I639">
        <f>VLOOKUP(E639,Sheet1!$B$1:$D$41,3,FALSE)</f>
        <v>646361</v>
      </c>
      <c r="J639">
        <f>VLOOKUP(F639,Sheet1!$B$1:$D$41,3,FALSE)</f>
        <v>705479</v>
      </c>
    </row>
    <row r="640" spans="1:10" x14ac:dyDescent="0.25">
      <c r="A640">
        <f>A636+1</f>
        <v>33</v>
      </c>
      <c r="B640" s="1" t="s">
        <v>57</v>
      </c>
      <c r="C640" s="1" t="s">
        <v>14</v>
      </c>
      <c r="D640" s="1" t="s">
        <v>39</v>
      </c>
      <c r="E640" t="s">
        <v>62</v>
      </c>
      <c r="F640" t="s">
        <v>27</v>
      </c>
      <c r="G640" t="str">
        <f>VLOOKUP(E640,Sheet1!$B$1:$D$41,2,FALSE)</f>
        <v>Walid</v>
      </c>
      <c r="H640" t="str">
        <f>VLOOKUP(F640,Sheet1!$B$1:$D$41,2,FALSE)</f>
        <v>Gordon</v>
      </c>
      <c r="I640">
        <f>VLOOKUP(E640,Sheet1!$B$1:$D$41,3,FALSE)</f>
        <v>2955408</v>
      </c>
      <c r="J640">
        <f>VLOOKUP(F640,Sheet1!$B$1:$D$41,3,FALSE)</f>
        <v>1177922</v>
      </c>
    </row>
    <row r="641" spans="1:10" x14ac:dyDescent="0.25">
      <c r="A641">
        <f>A637+1</f>
        <v>33</v>
      </c>
      <c r="B641" s="1" t="s">
        <v>57</v>
      </c>
      <c r="C641" s="1" t="s">
        <v>14</v>
      </c>
      <c r="D641" s="1" t="s">
        <v>39</v>
      </c>
      <c r="E641" t="s">
        <v>51</v>
      </c>
      <c r="F641" t="s">
        <v>23</v>
      </c>
      <c r="G641" t="str">
        <f>VLOOKUP(E641,Sheet1!$B$1:$D$41,2,FALSE)</f>
        <v>Andy</v>
      </c>
      <c r="H641" t="str">
        <f>VLOOKUP(F641,Sheet1!$B$1:$D$41,2,FALSE)</f>
        <v>Simon</v>
      </c>
      <c r="I641">
        <f>VLOOKUP(E641,Sheet1!$B$1:$D$41,3,FALSE)</f>
        <v>2564951</v>
      </c>
      <c r="J641">
        <f>VLOOKUP(F641,Sheet1!$B$1:$D$41,3,FALSE)</f>
        <v>2438184</v>
      </c>
    </row>
    <row r="642" spans="1:10" x14ac:dyDescent="0.25">
      <c r="A642">
        <f>A638+1</f>
        <v>34</v>
      </c>
      <c r="B642" s="1" t="s">
        <v>57</v>
      </c>
      <c r="C642" s="1" t="s">
        <v>14</v>
      </c>
      <c r="D642" s="1" t="s">
        <v>39</v>
      </c>
      <c r="E642" t="s">
        <v>27</v>
      </c>
      <c r="F642" t="s">
        <v>59</v>
      </c>
      <c r="G642" t="str">
        <f>VLOOKUP(E642,Sheet1!$B$1:$D$41,2,FALSE)</f>
        <v>Gordon</v>
      </c>
      <c r="H642" t="str">
        <f>VLOOKUP(F642,Sheet1!$B$1:$D$41,2,FALSE)</f>
        <v>Gavin</v>
      </c>
      <c r="I642">
        <f>VLOOKUP(E642,Sheet1!$B$1:$D$41,3,FALSE)</f>
        <v>1177922</v>
      </c>
      <c r="J642">
        <f>VLOOKUP(F642,Sheet1!$B$1:$D$41,3,FALSE)</f>
        <v>2957407</v>
      </c>
    </row>
    <row r="643" spans="1:10" x14ac:dyDescent="0.25">
      <c r="A643">
        <f>A639+1</f>
        <v>34</v>
      </c>
      <c r="B643" s="1" t="s">
        <v>57</v>
      </c>
      <c r="C643" s="1" t="s">
        <v>14</v>
      </c>
      <c r="D643" s="1" t="s">
        <v>39</v>
      </c>
      <c r="E643" t="s">
        <v>58</v>
      </c>
      <c r="F643" t="s">
        <v>23</v>
      </c>
      <c r="G643" t="str">
        <f>VLOOKUP(E643,Sheet1!$B$1:$D$41,2,FALSE)</f>
        <v>Steven</v>
      </c>
      <c r="H643" t="str">
        <f>VLOOKUP(F643,Sheet1!$B$1:$D$41,2,FALSE)</f>
        <v>Simon</v>
      </c>
      <c r="I643">
        <f>VLOOKUP(E643,Sheet1!$B$1:$D$41,3,FALSE)</f>
        <v>705479</v>
      </c>
      <c r="J643">
        <f>VLOOKUP(F643,Sheet1!$B$1:$D$41,3,FALSE)</f>
        <v>2438184</v>
      </c>
    </row>
    <row r="644" spans="1:10" x14ac:dyDescent="0.25">
      <c r="A644">
        <f>A640+1</f>
        <v>34</v>
      </c>
      <c r="B644" s="1" t="s">
        <v>57</v>
      </c>
      <c r="C644" s="1" t="s">
        <v>14</v>
      </c>
      <c r="D644" s="1" t="s">
        <v>39</v>
      </c>
      <c r="E644" t="s">
        <v>60</v>
      </c>
      <c r="F644" t="s">
        <v>51</v>
      </c>
      <c r="G644" t="str">
        <f>VLOOKUP(E644,Sheet1!$B$1:$D$41,2,FALSE)</f>
        <v>Keith</v>
      </c>
      <c r="H644" t="str">
        <f>VLOOKUP(F644,Sheet1!$B$1:$D$41,2,FALSE)</f>
        <v>Andy</v>
      </c>
      <c r="I644">
        <f>VLOOKUP(E644,Sheet1!$B$1:$D$41,3,FALSE)</f>
        <v>2955410</v>
      </c>
      <c r="J644">
        <f>VLOOKUP(F644,Sheet1!$B$1:$D$41,3,FALSE)</f>
        <v>2564951</v>
      </c>
    </row>
    <row r="645" spans="1:10" x14ac:dyDescent="0.25">
      <c r="A645">
        <f>A641+1</f>
        <v>34</v>
      </c>
      <c r="B645" s="1" t="s">
        <v>57</v>
      </c>
      <c r="C645" s="1" t="s">
        <v>14</v>
      </c>
      <c r="D645" s="1" t="s">
        <v>39</v>
      </c>
      <c r="E645" t="s">
        <v>61</v>
      </c>
      <c r="F645" t="s">
        <v>62</v>
      </c>
      <c r="G645" t="str">
        <f>VLOOKUP(E645,Sheet1!$B$1:$D$41,2,FALSE)</f>
        <v>James</v>
      </c>
      <c r="H645" t="str">
        <f>VLOOKUP(F645,Sheet1!$B$1:$D$41,2,FALSE)</f>
        <v>Walid</v>
      </c>
      <c r="I645">
        <f>VLOOKUP(E645,Sheet1!$B$1:$D$41,3,FALSE)</f>
        <v>646361</v>
      </c>
      <c r="J645">
        <f>VLOOKUP(F645,Sheet1!$B$1:$D$41,3,FALSE)</f>
        <v>2955408</v>
      </c>
    </row>
    <row r="646" spans="1:10" x14ac:dyDescent="0.25">
      <c r="A646">
        <f>A642+1</f>
        <v>35</v>
      </c>
      <c r="B646" s="1" t="s">
        <v>57</v>
      </c>
      <c r="C646" s="1" t="s">
        <v>14</v>
      </c>
      <c r="D646" s="1" t="s">
        <v>39</v>
      </c>
      <c r="E646" t="s">
        <v>59</v>
      </c>
      <c r="F646" t="s">
        <v>61</v>
      </c>
      <c r="G646" t="str">
        <f>VLOOKUP(E646,Sheet1!$B$1:$D$41,2,FALSE)</f>
        <v>Gavin</v>
      </c>
      <c r="H646" t="str">
        <f>VLOOKUP(F646,Sheet1!$B$1:$D$41,2,FALSE)</f>
        <v>James</v>
      </c>
      <c r="I646">
        <f>VLOOKUP(E646,Sheet1!$B$1:$D$41,3,FALSE)</f>
        <v>2957407</v>
      </c>
      <c r="J646">
        <f>VLOOKUP(F646,Sheet1!$B$1:$D$41,3,FALSE)</f>
        <v>646361</v>
      </c>
    </row>
    <row r="647" spans="1:10" x14ac:dyDescent="0.25">
      <c r="A647">
        <f>A643+1</f>
        <v>35</v>
      </c>
      <c r="B647" s="1" t="s">
        <v>57</v>
      </c>
      <c r="C647" s="1" t="s">
        <v>14</v>
      </c>
      <c r="D647" s="1" t="s">
        <v>39</v>
      </c>
      <c r="E647" t="s">
        <v>62</v>
      </c>
      <c r="F647" t="s">
        <v>60</v>
      </c>
      <c r="G647" t="str">
        <f>VLOOKUP(E647,Sheet1!$B$1:$D$41,2,FALSE)</f>
        <v>Walid</v>
      </c>
      <c r="H647" t="str">
        <f>VLOOKUP(F647,Sheet1!$B$1:$D$41,2,FALSE)</f>
        <v>Keith</v>
      </c>
      <c r="I647">
        <f>VLOOKUP(E647,Sheet1!$B$1:$D$41,3,FALSE)</f>
        <v>2955408</v>
      </c>
      <c r="J647">
        <f>VLOOKUP(F647,Sheet1!$B$1:$D$41,3,FALSE)</f>
        <v>2955410</v>
      </c>
    </row>
    <row r="648" spans="1:10" x14ac:dyDescent="0.25">
      <c r="A648">
        <f>A644+1</f>
        <v>35</v>
      </c>
      <c r="B648" s="1" t="s">
        <v>57</v>
      </c>
      <c r="C648" s="1" t="s">
        <v>14</v>
      </c>
      <c r="D648" s="1" t="s">
        <v>39</v>
      </c>
      <c r="E648" t="s">
        <v>51</v>
      </c>
      <c r="F648" t="s">
        <v>58</v>
      </c>
      <c r="G648" t="str">
        <f>VLOOKUP(E648,Sheet1!$B$1:$D$41,2,FALSE)</f>
        <v>Andy</v>
      </c>
      <c r="H648" t="str">
        <f>VLOOKUP(F648,Sheet1!$B$1:$D$41,2,FALSE)</f>
        <v>Steven</v>
      </c>
      <c r="I648">
        <f>VLOOKUP(E648,Sheet1!$B$1:$D$41,3,FALSE)</f>
        <v>2564951</v>
      </c>
      <c r="J648">
        <f>VLOOKUP(F648,Sheet1!$B$1:$D$41,3,FALSE)</f>
        <v>705479</v>
      </c>
    </row>
    <row r="649" spans="1:10" x14ac:dyDescent="0.25">
      <c r="A649">
        <f>A645+1</f>
        <v>35</v>
      </c>
      <c r="B649" s="1" t="s">
        <v>57</v>
      </c>
      <c r="C649" s="1" t="s">
        <v>14</v>
      </c>
      <c r="D649" s="1" t="s">
        <v>39</v>
      </c>
      <c r="E649" t="s">
        <v>23</v>
      </c>
      <c r="F649" t="s">
        <v>27</v>
      </c>
      <c r="G649" t="str">
        <f>VLOOKUP(E649,Sheet1!$B$1:$D$41,2,FALSE)</f>
        <v>Simon</v>
      </c>
      <c r="H649" t="str">
        <f>VLOOKUP(F649,Sheet1!$B$1:$D$41,2,FALSE)</f>
        <v>Gordon</v>
      </c>
      <c r="I649">
        <f>VLOOKUP(E649,Sheet1!$B$1:$D$41,3,FALSE)</f>
        <v>2438184</v>
      </c>
      <c r="J649">
        <f>VLOOKUP(F649,Sheet1!$B$1:$D$41,3,FALSE)</f>
        <v>1177922</v>
      </c>
    </row>
    <row r="650" spans="1:10" x14ac:dyDescent="0.25">
      <c r="A650">
        <f>A646+1</f>
        <v>36</v>
      </c>
      <c r="B650" s="1" t="s">
        <v>57</v>
      </c>
      <c r="C650" s="1" t="s">
        <v>14</v>
      </c>
      <c r="D650" s="1" t="s">
        <v>39</v>
      </c>
      <c r="E650" t="s">
        <v>62</v>
      </c>
      <c r="F650" t="s">
        <v>59</v>
      </c>
      <c r="G650" t="str">
        <f>VLOOKUP(E650,Sheet1!$B$1:$D$41,2,FALSE)</f>
        <v>Walid</v>
      </c>
      <c r="H650" t="str">
        <f>VLOOKUP(F650,Sheet1!$B$1:$D$41,2,FALSE)</f>
        <v>Gavin</v>
      </c>
      <c r="I650">
        <f>VLOOKUP(E650,Sheet1!$B$1:$D$41,3,FALSE)</f>
        <v>2955408</v>
      </c>
      <c r="J650">
        <f>VLOOKUP(F650,Sheet1!$B$1:$D$41,3,FALSE)</f>
        <v>2957407</v>
      </c>
    </row>
    <row r="651" spans="1:10" x14ac:dyDescent="0.25">
      <c r="A651">
        <f>A647+1</f>
        <v>36</v>
      </c>
      <c r="B651" s="1" t="s">
        <v>57</v>
      </c>
      <c r="C651" s="1" t="s">
        <v>14</v>
      </c>
      <c r="D651" s="1" t="s">
        <v>39</v>
      </c>
      <c r="E651" t="s">
        <v>51</v>
      </c>
      <c r="F651" t="s">
        <v>61</v>
      </c>
      <c r="G651" t="str">
        <f>VLOOKUP(E651,Sheet1!$B$1:$D$41,2,FALSE)</f>
        <v>Andy</v>
      </c>
      <c r="H651" t="str">
        <f>VLOOKUP(F651,Sheet1!$B$1:$D$41,2,FALSE)</f>
        <v>James</v>
      </c>
      <c r="I651">
        <f>VLOOKUP(E651,Sheet1!$B$1:$D$41,3,FALSE)</f>
        <v>2564951</v>
      </c>
      <c r="J651">
        <f>VLOOKUP(F651,Sheet1!$B$1:$D$41,3,FALSE)</f>
        <v>646361</v>
      </c>
    </row>
    <row r="652" spans="1:10" x14ac:dyDescent="0.25">
      <c r="A652">
        <f>A648+1</f>
        <v>36</v>
      </c>
      <c r="B652" s="1" t="s">
        <v>57</v>
      </c>
      <c r="C652" s="1" t="s">
        <v>14</v>
      </c>
      <c r="D652" s="1" t="s">
        <v>39</v>
      </c>
      <c r="E652" t="s">
        <v>23</v>
      </c>
      <c r="F652" t="s">
        <v>60</v>
      </c>
      <c r="G652" t="str">
        <f>VLOOKUP(E652,Sheet1!$B$1:$D$41,2,FALSE)</f>
        <v>Simon</v>
      </c>
      <c r="H652" t="str">
        <f>VLOOKUP(F652,Sheet1!$B$1:$D$41,2,FALSE)</f>
        <v>Keith</v>
      </c>
      <c r="I652">
        <f>VLOOKUP(E652,Sheet1!$B$1:$D$41,3,FALSE)</f>
        <v>2438184</v>
      </c>
      <c r="J652">
        <f>VLOOKUP(F652,Sheet1!$B$1:$D$41,3,FALSE)</f>
        <v>2955410</v>
      </c>
    </row>
    <row r="653" spans="1:10" x14ac:dyDescent="0.25">
      <c r="A653">
        <f>A649+1</f>
        <v>36</v>
      </c>
      <c r="B653" s="1" t="s">
        <v>57</v>
      </c>
      <c r="C653" s="1" t="s">
        <v>14</v>
      </c>
      <c r="D653" s="1" t="s">
        <v>39</v>
      </c>
      <c r="E653" t="s">
        <v>27</v>
      </c>
      <c r="F653" t="s">
        <v>58</v>
      </c>
      <c r="G653" t="str">
        <f>VLOOKUP(E653,Sheet1!$B$1:$D$41,2,FALSE)</f>
        <v>Gordon</v>
      </c>
      <c r="H653" t="str">
        <f>VLOOKUP(F653,Sheet1!$B$1:$D$41,2,FALSE)</f>
        <v>Steven</v>
      </c>
      <c r="I653">
        <f>VLOOKUP(E653,Sheet1!$B$1:$D$41,3,FALSE)</f>
        <v>1177922</v>
      </c>
      <c r="J653">
        <f>VLOOKUP(F653,Sheet1!$B$1:$D$41,3,FALSE)</f>
        <v>705479</v>
      </c>
    </row>
    <row r="654" spans="1:10" x14ac:dyDescent="0.25">
      <c r="A654">
        <f>A650+1</f>
        <v>37</v>
      </c>
      <c r="B654" s="1" t="s">
        <v>57</v>
      </c>
      <c r="C654" s="1" t="s">
        <v>14</v>
      </c>
      <c r="D654" s="1" t="s">
        <v>40</v>
      </c>
    </row>
    <row r="655" spans="1:10" x14ac:dyDescent="0.25">
      <c r="A655">
        <f>A651+1</f>
        <v>37</v>
      </c>
      <c r="B655" s="1" t="s">
        <v>57</v>
      </c>
      <c r="C655" s="1" t="s">
        <v>14</v>
      </c>
      <c r="D655" s="1" t="s">
        <v>40</v>
      </c>
    </row>
    <row r="656" spans="1:10" x14ac:dyDescent="0.25">
      <c r="A656">
        <f>A652+1</f>
        <v>37</v>
      </c>
      <c r="B656" s="1" t="s">
        <v>57</v>
      </c>
      <c r="C656" s="1" t="s">
        <v>14</v>
      </c>
      <c r="D656" s="1" t="s">
        <v>40</v>
      </c>
    </row>
    <row r="657" spans="1:10" x14ac:dyDescent="0.25">
      <c r="A657">
        <f>A653+1</f>
        <v>37</v>
      </c>
      <c r="B657" s="1" t="s">
        <v>57</v>
      </c>
      <c r="C657" s="1" t="s">
        <v>14</v>
      </c>
      <c r="D657" s="1" t="s">
        <v>40</v>
      </c>
    </row>
    <row r="658" spans="1:10" x14ac:dyDescent="0.25">
      <c r="A658">
        <f>A654+1</f>
        <v>38</v>
      </c>
      <c r="B658" s="1" t="s">
        <v>57</v>
      </c>
      <c r="C658" s="1" t="s">
        <v>14</v>
      </c>
      <c r="D658" s="1" t="s">
        <v>41</v>
      </c>
    </row>
    <row r="659" spans="1:10" x14ac:dyDescent="0.25">
      <c r="A659">
        <f>A655+1</f>
        <v>38</v>
      </c>
      <c r="B659" s="1" t="s">
        <v>57</v>
      </c>
      <c r="C659" s="1" t="s">
        <v>14</v>
      </c>
      <c r="D659" s="1" t="s">
        <v>41</v>
      </c>
    </row>
    <row r="660" spans="1:10" x14ac:dyDescent="0.25">
      <c r="A660">
        <f>A656+1</f>
        <v>38</v>
      </c>
      <c r="B660" s="1" t="s">
        <v>57</v>
      </c>
      <c r="C660" s="1" t="s">
        <v>14</v>
      </c>
      <c r="D660" s="1" t="s">
        <v>42</v>
      </c>
    </row>
    <row r="661" spans="1:10" x14ac:dyDescent="0.25">
      <c r="A661">
        <f>A657+1</f>
        <v>38</v>
      </c>
      <c r="B661" s="1" t="s">
        <v>57</v>
      </c>
      <c r="C661" s="1" t="s">
        <v>14</v>
      </c>
      <c r="D661" s="1" t="s">
        <v>43</v>
      </c>
    </row>
    <row r="662" spans="1:10" x14ac:dyDescent="0.25">
      <c r="A662">
        <f>A658+1</f>
        <v>39</v>
      </c>
      <c r="B662" s="1" t="s">
        <v>57</v>
      </c>
      <c r="C662" s="1" t="s">
        <v>14</v>
      </c>
      <c r="D662" s="1" t="s">
        <v>42</v>
      </c>
    </row>
    <row r="663" spans="1:10" x14ac:dyDescent="0.25">
      <c r="A663">
        <f>A659+1</f>
        <v>39</v>
      </c>
      <c r="B663" s="1" t="s">
        <v>57</v>
      </c>
      <c r="C663" s="1" t="s">
        <v>14</v>
      </c>
      <c r="D663" s="1" t="s">
        <v>46</v>
      </c>
    </row>
    <row r="664" spans="1:10" x14ac:dyDescent="0.25">
      <c r="A664">
        <f>A660+1</f>
        <v>39</v>
      </c>
      <c r="B664" s="1" t="s">
        <v>57</v>
      </c>
      <c r="C664" s="1" t="s">
        <v>14</v>
      </c>
      <c r="D664" s="1" t="s">
        <v>44</v>
      </c>
    </row>
    <row r="665" spans="1:10" x14ac:dyDescent="0.25">
      <c r="A665">
        <f>A661+1</f>
        <v>39</v>
      </c>
      <c r="B665" s="1" t="s">
        <v>57</v>
      </c>
      <c r="C665" s="1" t="s">
        <v>14</v>
      </c>
      <c r="D665" s="1" t="s">
        <v>45</v>
      </c>
    </row>
    <row r="666" spans="1:10" x14ac:dyDescent="0.25">
      <c r="A666">
        <v>1</v>
      </c>
      <c r="B666" s="1" t="s">
        <v>49</v>
      </c>
      <c r="C666" s="1" t="s">
        <v>14</v>
      </c>
      <c r="D666" s="1" t="s">
        <v>39</v>
      </c>
      <c r="E666" t="s">
        <v>50</v>
      </c>
      <c r="F666" t="s">
        <v>53</v>
      </c>
      <c r="I666">
        <v>1114016</v>
      </c>
      <c r="J666">
        <v>6186573</v>
      </c>
    </row>
    <row r="667" spans="1:10" x14ac:dyDescent="0.25">
      <c r="A667">
        <v>1</v>
      </c>
      <c r="B667" s="1" t="s">
        <v>49</v>
      </c>
      <c r="C667" s="1" t="s">
        <v>14</v>
      </c>
      <c r="D667" s="1" t="s">
        <v>39</v>
      </c>
      <c r="E667" t="s">
        <v>27</v>
      </c>
      <c r="F667" t="s">
        <v>56</v>
      </c>
      <c r="I667">
        <v>10946</v>
      </c>
      <c r="J667">
        <v>6188948</v>
      </c>
    </row>
    <row r="668" spans="1:10" x14ac:dyDescent="0.25">
      <c r="A668">
        <v>1</v>
      </c>
      <c r="B668" s="1" t="s">
        <v>49</v>
      </c>
      <c r="C668" s="1" t="s">
        <v>14</v>
      </c>
      <c r="D668" s="1" t="s">
        <v>39</v>
      </c>
      <c r="E668" t="s">
        <v>51</v>
      </c>
      <c r="F668" t="s">
        <v>55</v>
      </c>
      <c r="I668">
        <v>96097</v>
      </c>
      <c r="J668">
        <v>1077612</v>
      </c>
    </row>
    <row r="669" spans="1:10" x14ac:dyDescent="0.25">
      <c r="A669">
        <v>1</v>
      </c>
      <c r="B669" s="1" t="s">
        <v>49</v>
      </c>
      <c r="C669" s="1" t="s">
        <v>14</v>
      </c>
      <c r="D669" s="1" t="s">
        <v>39</v>
      </c>
      <c r="E669" t="s">
        <v>52</v>
      </c>
      <c r="F669" t="s">
        <v>54</v>
      </c>
      <c r="I669">
        <v>109884</v>
      </c>
      <c r="J669">
        <v>1123161</v>
      </c>
    </row>
    <row r="670" spans="1:10" x14ac:dyDescent="0.25">
      <c r="A670">
        <f>A666+1</f>
        <v>2</v>
      </c>
      <c r="B670" s="1" t="s">
        <v>49</v>
      </c>
      <c r="C670" s="1" t="s">
        <v>14</v>
      </c>
      <c r="D670" s="1" t="s">
        <v>39</v>
      </c>
      <c r="E670" t="s">
        <v>53</v>
      </c>
      <c r="F670" t="s">
        <v>52</v>
      </c>
      <c r="I670">
        <v>6186573</v>
      </c>
      <c r="J670">
        <v>109884</v>
      </c>
    </row>
    <row r="671" spans="1:10" x14ac:dyDescent="0.25">
      <c r="A671">
        <f>A667+1</f>
        <v>2</v>
      </c>
      <c r="B671" s="1" t="s">
        <v>49</v>
      </c>
      <c r="C671" s="1" t="s">
        <v>14</v>
      </c>
      <c r="D671" s="1" t="s">
        <v>39</v>
      </c>
      <c r="E671" t="s">
        <v>54</v>
      </c>
      <c r="F671" t="s">
        <v>51</v>
      </c>
      <c r="I671">
        <v>1123161</v>
      </c>
      <c r="J671">
        <v>96097</v>
      </c>
    </row>
    <row r="672" spans="1:10" x14ac:dyDescent="0.25">
      <c r="A672">
        <f>A668+1</f>
        <v>2</v>
      </c>
      <c r="B672" s="1" t="s">
        <v>49</v>
      </c>
      <c r="C672" s="1" t="s">
        <v>14</v>
      </c>
      <c r="D672" s="1" t="s">
        <v>39</v>
      </c>
      <c r="E672" t="s">
        <v>55</v>
      </c>
      <c r="F672" t="s">
        <v>27</v>
      </c>
      <c r="I672">
        <v>1077612</v>
      </c>
      <c r="J672">
        <v>10946</v>
      </c>
    </row>
    <row r="673" spans="1:10" x14ac:dyDescent="0.25">
      <c r="A673">
        <f>A669+1</f>
        <v>2</v>
      </c>
      <c r="B673" s="1" t="s">
        <v>49</v>
      </c>
      <c r="C673" s="1" t="s">
        <v>14</v>
      </c>
      <c r="D673" s="1" t="s">
        <v>39</v>
      </c>
      <c r="E673" t="s">
        <v>56</v>
      </c>
      <c r="F673" t="s">
        <v>50</v>
      </c>
      <c r="I673">
        <v>6188948</v>
      </c>
      <c r="J673">
        <v>1114016</v>
      </c>
    </row>
    <row r="674" spans="1:10" x14ac:dyDescent="0.25">
      <c r="A674">
        <f>A670+1</f>
        <v>3</v>
      </c>
      <c r="B674" s="1" t="s">
        <v>49</v>
      </c>
      <c r="C674" s="1" t="s">
        <v>14</v>
      </c>
      <c r="D674" s="1" t="s">
        <v>39</v>
      </c>
      <c r="E674" t="s">
        <v>27</v>
      </c>
      <c r="F674" t="s">
        <v>53</v>
      </c>
      <c r="I674">
        <v>10946</v>
      </c>
      <c r="J674">
        <v>6186573</v>
      </c>
    </row>
    <row r="675" spans="1:10" x14ac:dyDescent="0.25">
      <c r="A675">
        <f>A671+1</f>
        <v>3</v>
      </c>
      <c r="B675" s="1" t="s">
        <v>49</v>
      </c>
      <c r="C675" s="1" t="s">
        <v>14</v>
      </c>
      <c r="D675" s="1" t="s">
        <v>39</v>
      </c>
      <c r="E675" t="s">
        <v>51</v>
      </c>
      <c r="F675" t="s">
        <v>50</v>
      </c>
      <c r="I675">
        <v>96097</v>
      </c>
      <c r="J675">
        <v>1114016</v>
      </c>
    </row>
    <row r="676" spans="1:10" x14ac:dyDescent="0.25">
      <c r="A676">
        <f>A672+1</f>
        <v>3</v>
      </c>
      <c r="B676" s="1" t="s">
        <v>49</v>
      </c>
      <c r="C676" s="1" t="s">
        <v>14</v>
      </c>
      <c r="D676" s="1" t="s">
        <v>39</v>
      </c>
      <c r="E676" t="s">
        <v>52</v>
      </c>
      <c r="F676" t="s">
        <v>56</v>
      </c>
      <c r="I676">
        <v>109884</v>
      </c>
      <c r="J676">
        <v>6188948</v>
      </c>
    </row>
    <row r="677" spans="1:10" x14ac:dyDescent="0.25">
      <c r="A677">
        <f>A673+1</f>
        <v>3</v>
      </c>
      <c r="B677" s="1" t="s">
        <v>49</v>
      </c>
      <c r="C677" s="1" t="s">
        <v>14</v>
      </c>
      <c r="D677" s="1" t="s">
        <v>39</v>
      </c>
      <c r="E677" t="s">
        <v>54</v>
      </c>
      <c r="F677" t="s">
        <v>55</v>
      </c>
      <c r="I677">
        <v>1123161</v>
      </c>
      <c r="J677">
        <v>1077612</v>
      </c>
    </row>
    <row r="678" spans="1:10" x14ac:dyDescent="0.25">
      <c r="A678">
        <f>A674+1</f>
        <v>4</v>
      </c>
      <c r="B678" s="1" t="s">
        <v>49</v>
      </c>
      <c r="C678" s="1" t="s">
        <v>14</v>
      </c>
      <c r="D678" s="1" t="s">
        <v>39</v>
      </c>
      <c r="E678" t="s">
        <v>53</v>
      </c>
      <c r="F678" t="s">
        <v>54</v>
      </c>
      <c r="I678">
        <v>6186573</v>
      </c>
      <c r="J678">
        <v>1123161</v>
      </c>
    </row>
    <row r="679" spans="1:10" x14ac:dyDescent="0.25">
      <c r="A679">
        <f>A675+1</f>
        <v>4</v>
      </c>
      <c r="B679" s="1" t="s">
        <v>49</v>
      </c>
      <c r="C679" s="1" t="s">
        <v>14</v>
      </c>
      <c r="D679" s="1" t="s">
        <v>39</v>
      </c>
      <c r="E679" t="s">
        <v>55</v>
      </c>
      <c r="F679" t="s">
        <v>52</v>
      </c>
      <c r="I679">
        <v>1077612</v>
      </c>
      <c r="J679">
        <v>109884</v>
      </c>
    </row>
    <row r="680" spans="1:10" x14ac:dyDescent="0.25">
      <c r="A680">
        <f>A676+1</f>
        <v>4</v>
      </c>
      <c r="B680" s="1" t="s">
        <v>49</v>
      </c>
      <c r="C680" s="1" t="s">
        <v>14</v>
      </c>
      <c r="D680" s="1" t="s">
        <v>39</v>
      </c>
      <c r="E680" t="s">
        <v>56</v>
      </c>
      <c r="F680" t="s">
        <v>51</v>
      </c>
      <c r="I680">
        <v>6188948</v>
      </c>
      <c r="J680">
        <v>96097</v>
      </c>
    </row>
    <row r="681" spans="1:10" x14ac:dyDescent="0.25">
      <c r="A681">
        <f>A677+1</f>
        <v>4</v>
      </c>
      <c r="B681" s="1" t="s">
        <v>49</v>
      </c>
      <c r="C681" s="1" t="s">
        <v>14</v>
      </c>
      <c r="D681" s="1" t="s">
        <v>39</v>
      </c>
      <c r="E681" t="s">
        <v>50</v>
      </c>
      <c r="F681" t="s">
        <v>27</v>
      </c>
      <c r="I681">
        <v>1114016</v>
      </c>
      <c r="J681">
        <v>10946</v>
      </c>
    </row>
    <row r="682" spans="1:10" x14ac:dyDescent="0.25">
      <c r="A682">
        <f>A678+1</f>
        <v>5</v>
      </c>
      <c r="B682" s="1" t="s">
        <v>49</v>
      </c>
      <c r="C682" s="1" t="s">
        <v>14</v>
      </c>
      <c r="D682" s="1" t="s">
        <v>39</v>
      </c>
      <c r="E682" t="s">
        <v>51</v>
      </c>
      <c r="F682" t="s">
        <v>53</v>
      </c>
      <c r="I682">
        <v>96097</v>
      </c>
      <c r="J682">
        <v>6186573</v>
      </c>
    </row>
    <row r="683" spans="1:10" x14ac:dyDescent="0.25">
      <c r="A683">
        <f>A679+1</f>
        <v>5</v>
      </c>
      <c r="B683" s="1" t="s">
        <v>49</v>
      </c>
      <c r="C683" s="1" t="s">
        <v>14</v>
      </c>
      <c r="D683" s="1" t="s">
        <v>39</v>
      </c>
      <c r="E683" t="s">
        <v>52</v>
      </c>
      <c r="F683" t="s">
        <v>27</v>
      </c>
      <c r="I683">
        <v>109884</v>
      </c>
      <c r="J683">
        <v>10946</v>
      </c>
    </row>
    <row r="684" spans="1:10" x14ac:dyDescent="0.25">
      <c r="A684">
        <f>A680+1</f>
        <v>5</v>
      </c>
      <c r="B684" s="1" t="s">
        <v>49</v>
      </c>
      <c r="C684" s="1" t="s">
        <v>14</v>
      </c>
      <c r="D684" s="1" t="s">
        <v>39</v>
      </c>
      <c r="E684" t="s">
        <v>54</v>
      </c>
      <c r="F684" t="s">
        <v>50</v>
      </c>
      <c r="I684">
        <v>1123161</v>
      </c>
      <c r="J684">
        <v>1114016</v>
      </c>
    </row>
    <row r="685" spans="1:10" x14ac:dyDescent="0.25">
      <c r="A685">
        <f>A681+1</f>
        <v>5</v>
      </c>
      <c r="B685" s="1" t="s">
        <v>49</v>
      </c>
      <c r="C685" s="1" t="s">
        <v>14</v>
      </c>
      <c r="D685" s="1" t="s">
        <v>39</v>
      </c>
      <c r="E685" t="s">
        <v>55</v>
      </c>
      <c r="F685" t="s">
        <v>56</v>
      </c>
      <c r="I685">
        <v>1077612</v>
      </c>
      <c r="J685">
        <v>6188948</v>
      </c>
    </row>
    <row r="686" spans="1:10" x14ac:dyDescent="0.25">
      <c r="A686">
        <f>A682+1</f>
        <v>6</v>
      </c>
      <c r="B686" s="1" t="s">
        <v>49</v>
      </c>
      <c r="C686" s="1" t="s">
        <v>14</v>
      </c>
      <c r="D686" s="1" t="s">
        <v>39</v>
      </c>
      <c r="E686" t="s">
        <v>53</v>
      </c>
      <c r="F686" t="s">
        <v>55</v>
      </c>
      <c r="I686">
        <v>6186573</v>
      </c>
      <c r="J686">
        <v>1077612</v>
      </c>
    </row>
    <row r="687" spans="1:10" x14ac:dyDescent="0.25">
      <c r="A687">
        <f>A683+1</f>
        <v>6</v>
      </c>
      <c r="B687" s="1" t="s">
        <v>49</v>
      </c>
      <c r="C687" s="1" t="s">
        <v>14</v>
      </c>
      <c r="D687" s="1" t="s">
        <v>39</v>
      </c>
      <c r="E687" t="s">
        <v>56</v>
      </c>
      <c r="F687" t="s">
        <v>54</v>
      </c>
      <c r="I687">
        <v>6188948</v>
      </c>
      <c r="J687">
        <v>1123161</v>
      </c>
    </row>
    <row r="688" spans="1:10" x14ac:dyDescent="0.25">
      <c r="A688">
        <f>A684+1</f>
        <v>6</v>
      </c>
      <c r="B688" s="1" t="s">
        <v>49</v>
      </c>
      <c r="C688" s="1" t="s">
        <v>14</v>
      </c>
      <c r="D688" s="1" t="s">
        <v>39</v>
      </c>
      <c r="E688" t="s">
        <v>50</v>
      </c>
      <c r="F688" t="s">
        <v>52</v>
      </c>
      <c r="I688">
        <v>1114016</v>
      </c>
      <c r="J688">
        <v>109884</v>
      </c>
    </row>
    <row r="689" spans="1:10" x14ac:dyDescent="0.25">
      <c r="A689">
        <f>A685+1</f>
        <v>6</v>
      </c>
      <c r="B689" s="1" t="s">
        <v>49</v>
      </c>
      <c r="C689" s="1" t="s">
        <v>14</v>
      </c>
      <c r="D689" s="1" t="s">
        <v>39</v>
      </c>
      <c r="E689" t="s">
        <v>27</v>
      </c>
      <c r="F689" t="s">
        <v>51</v>
      </c>
      <c r="I689">
        <v>10946</v>
      </c>
      <c r="J689">
        <v>96097</v>
      </c>
    </row>
    <row r="690" spans="1:10" x14ac:dyDescent="0.25">
      <c r="A690">
        <f>A686+1</f>
        <v>7</v>
      </c>
      <c r="B690" s="1" t="s">
        <v>49</v>
      </c>
      <c r="C690" s="1" t="s">
        <v>14</v>
      </c>
      <c r="D690" s="1" t="s">
        <v>39</v>
      </c>
      <c r="E690" t="s">
        <v>56</v>
      </c>
      <c r="F690" t="s">
        <v>53</v>
      </c>
      <c r="I690">
        <v>6188948</v>
      </c>
      <c r="J690">
        <v>6186573</v>
      </c>
    </row>
    <row r="691" spans="1:10" x14ac:dyDescent="0.25">
      <c r="A691">
        <f>A687+1</f>
        <v>7</v>
      </c>
      <c r="B691" s="1" t="s">
        <v>49</v>
      </c>
      <c r="C691" s="1" t="s">
        <v>14</v>
      </c>
      <c r="D691" s="1" t="s">
        <v>39</v>
      </c>
      <c r="E691" t="s">
        <v>50</v>
      </c>
      <c r="F691" t="s">
        <v>55</v>
      </c>
      <c r="I691">
        <v>1114016</v>
      </c>
      <c r="J691">
        <v>1077612</v>
      </c>
    </row>
    <row r="692" spans="1:10" x14ac:dyDescent="0.25">
      <c r="A692">
        <f>A688+1</f>
        <v>7</v>
      </c>
      <c r="B692" s="1" t="s">
        <v>49</v>
      </c>
      <c r="C692" s="1" t="s">
        <v>14</v>
      </c>
      <c r="D692" s="1" t="s">
        <v>39</v>
      </c>
      <c r="E692" t="s">
        <v>27</v>
      </c>
      <c r="F692" t="s">
        <v>54</v>
      </c>
      <c r="I692">
        <v>10946</v>
      </c>
      <c r="J692">
        <v>1123161</v>
      </c>
    </row>
    <row r="693" spans="1:10" x14ac:dyDescent="0.25">
      <c r="A693">
        <f>A689+1</f>
        <v>7</v>
      </c>
      <c r="B693" s="1" t="s">
        <v>49</v>
      </c>
      <c r="C693" s="1" t="s">
        <v>14</v>
      </c>
      <c r="D693" s="1" t="s">
        <v>39</v>
      </c>
      <c r="E693" t="s">
        <v>51</v>
      </c>
      <c r="F693" t="s">
        <v>52</v>
      </c>
      <c r="I693">
        <v>96097</v>
      </c>
      <c r="J693">
        <v>109884</v>
      </c>
    </row>
    <row r="694" spans="1:10" x14ac:dyDescent="0.25">
      <c r="A694">
        <f>A690+1</f>
        <v>8</v>
      </c>
      <c r="B694" s="1" t="s">
        <v>49</v>
      </c>
      <c r="C694" s="1" t="s">
        <v>14</v>
      </c>
      <c r="D694" s="1" t="s">
        <v>39</v>
      </c>
      <c r="E694" t="s">
        <v>50</v>
      </c>
      <c r="F694" t="s">
        <v>53</v>
      </c>
      <c r="I694">
        <v>1114016</v>
      </c>
      <c r="J694">
        <v>6186573</v>
      </c>
    </row>
    <row r="695" spans="1:10" x14ac:dyDescent="0.25">
      <c r="A695">
        <f>A691+1</f>
        <v>8</v>
      </c>
      <c r="B695" s="1" t="s">
        <v>49</v>
      </c>
      <c r="C695" s="1" t="s">
        <v>14</v>
      </c>
      <c r="D695" s="1" t="s">
        <v>39</v>
      </c>
      <c r="E695" t="s">
        <v>27</v>
      </c>
      <c r="F695" t="s">
        <v>56</v>
      </c>
      <c r="I695">
        <v>10946</v>
      </c>
      <c r="J695">
        <v>6188948</v>
      </c>
    </row>
    <row r="696" spans="1:10" x14ac:dyDescent="0.25">
      <c r="A696">
        <f>A692+1</f>
        <v>8</v>
      </c>
      <c r="B696" s="1" t="s">
        <v>49</v>
      </c>
      <c r="C696" s="1" t="s">
        <v>14</v>
      </c>
      <c r="D696" s="1" t="s">
        <v>39</v>
      </c>
      <c r="E696" t="s">
        <v>51</v>
      </c>
      <c r="F696" t="s">
        <v>55</v>
      </c>
      <c r="I696">
        <v>96097</v>
      </c>
      <c r="J696">
        <v>1077612</v>
      </c>
    </row>
    <row r="697" spans="1:10" x14ac:dyDescent="0.25">
      <c r="A697">
        <f>A693+1</f>
        <v>8</v>
      </c>
      <c r="B697" s="1" t="s">
        <v>49</v>
      </c>
      <c r="C697" s="1" t="s">
        <v>14</v>
      </c>
      <c r="D697" s="1" t="s">
        <v>39</v>
      </c>
      <c r="E697" t="s">
        <v>52</v>
      </c>
      <c r="F697" t="s">
        <v>54</v>
      </c>
      <c r="I697">
        <v>109884</v>
      </c>
      <c r="J697">
        <v>1123161</v>
      </c>
    </row>
    <row r="698" spans="1:10" x14ac:dyDescent="0.25">
      <c r="A698">
        <f>A694+1</f>
        <v>9</v>
      </c>
      <c r="B698" s="1" t="s">
        <v>49</v>
      </c>
      <c r="C698" s="1" t="s">
        <v>14</v>
      </c>
      <c r="D698" s="1" t="s">
        <v>39</v>
      </c>
      <c r="E698" t="s">
        <v>53</v>
      </c>
      <c r="F698" t="s">
        <v>52</v>
      </c>
      <c r="I698">
        <v>6186573</v>
      </c>
      <c r="J698">
        <v>109884</v>
      </c>
    </row>
    <row r="699" spans="1:10" x14ac:dyDescent="0.25">
      <c r="A699">
        <f>A695+1</f>
        <v>9</v>
      </c>
      <c r="B699" s="1" t="s">
        <v>49</v>
      </c>
      <c r="C699" s="1" t="s">
        <v>14</v>
      </c>
      <c r="D699" s="1" t="s">
        <v>39</v>
      </c>
      <c r="E699" t="s">
        <v>54</v>
      </c>
      <c r="F699" t="s">
        <v>51</v>
      </c>
      <c r="I699">
        <v>1123161</v>
      </c>
      <c r="J699">
        <v>96097</v>
      </c>
    </row>
    <row r="700" spans="1:10" x14ac:dyDescent="0.25">
      <c r="A700">
        <f>A696+1</f>
        <v>9</v>
      </c>
      <c r="B700" s="1" t="s">
        <v>49</v>
      </c>
      <c r="C700" s="1" t="s">
        <v>14</v>
      </c>
      <c r="D700" s="1" t="s">
        <v>39</v>
      </c>
      <c r="E700" t="s">
        <v>55</v>
      </c>
      <c r="F700" t="s">
        <v>27</v>
      </c>
      <c r="I700">
        <v>1077612</v>
      </c>
      <c r="J700">
        <v>10946</v>
      </c>
    </row>
    <row r="701" spans="1:10" x14ac:dyDescent="0.25">
      <c r="A701">
        <f>A697+1</f>
        <v>9</v>
      </c>
      <c r="B701" s="1" t="s">
        <v>49</v>
      </c>
      <c r="C701" s="1" t="s">
        <v>14</v>
      </c>
      <c r="D701" s="1" t="s">
        <v>39</v>
      </c>
      <c r="E701" t="s">
        <v>56</v>
      </c>
      <c r="F701" t="s">
        <v>50</v>
      </c>
      <c r="I701">
        <v>6188948</v>
      </c>
      <c r="J701">
        <v>1114016</v>
      </c>
    </row>
    <row r="702" spans="1:10" x14ac:dyDescent="0.25">
      <c r="A702">
        <f>A698+1</f>
        <v>10</v>
      </c>
      <c r="B702" s="1" t="s">
        <v>49</v>
      </c>
      <c r="C702" s="1" t="s">
        <v>14</v>
      </c>
      <c r="D702" s="1" t="s">
        <v>39</v>
      </c>
      <c r="E702" t="s">
        <v>27</v>
      </c>
      <c r="F702" t="s">
        <v>53</v>
      </c>
      <c r="I702">
        <v>10946</v>
      </c>
      <c r="J702">
        <v>6186573</v>
      </c>
    </row>
    <row r="703" spans="1:10" x14ac:dyDescent="0.25">
      <c r="A703">
        <f>A699+1</f>
        <v>10</v>
      </c>
      <c r="B703" s="1" t="s">
        <v>49</v>
      </c>
      <c r="C703" s="1" t="s">
        <v>14</v>
      </c>
      <c r="D703" s="1" t="s">
        <v>39</v>
      </c>
      <c r="E703" t="s">
        <v>51</v>
      </c>
      <c r="F703" t="s">
        <v>50</v>
      </c>
      <c r="I703">
        <v>96097</v>
      </c>
      <c r="J703">
        <v>1114016</v>
      </c>
    </row>
    <row r="704" spans="1:10" x14ac:dyDescent="0.25">
      <c r="A704">
        <f>A700+1</f>
        <v>10</v>
      </c>
      <c r="B704" s="1" t="s">
        <v>49</v>
      </c>
      <c r="C704" s="1" t="s">
        <v>14</v>
      </c>
      <c r="D704" s="1" t="s">
        <v>39</v>
      </c>
      <c r="E704" t="s">
        <v>52</v>
      </c>
      <c r="F704" t="s">
        <v>56</v>
      </c>
      <c r="I704">
        <v>109884</v>
      </c>
      <c r="J704">
        <v>6188948</v>
      </c>
    </row>
    <row r="705" spans="1:10" x14ac:dyDescent="0.25">
      <c r="A705">
        <f>A701+1</f>
        <v>10</v>
      </c>
      <c r="B705" s="1" t="s">
        <v>49</v>
      </c>
      <c r="C705" s="1" t="s">
        <v>14</v>
      </c>
      <c r="D705" s="1" t="s">
        <v>39</v>
      </c>
      <c r="E705" t="s">
        <v>54</v>
      </c>
      <c r="F705" t="s">
        <v>55</v>
      </c>
      <c r="I705">
        <v>1123161</v>
      </c>
      <c r="J705">
        <v>1077612</v>
      </c>
    </row>
    <row r="706" spans="1:10" x14ac:dyDescent="0.25">
      <c r="A706">
        <f>A702+1</f>
        <v>11</v>
      </c>
      <c r="B706" s="1" t="s">
        <v>49</v>
      </c>
      <c r="C706" s="1" t="s">
        <v>14</v>
      </c>
      <c r="D706" s="1" t="s">
        <v>39</v>
      </c>
      <c r="E706" t="s">
        <v>53</v>
      </c>
      <c r="F706" t="s">
        <v>54</v>
      </c>
      <c r="I706">
        <v>6186573</v>
      </c>
      <c r="J706">
        <v>1123161</v>
      </c>
    </row>
    <row r="707" spans="1:10" x14ac:dyDescent="0.25">
      <c r="A707">
        <f>A703+1</f>
        <v>11</v>
      </c>
      <c r="B707" s="1" t="s">
        <v>49</v>
      </c>
      <c r="C707" s="1" t="s">
        <v>14</v>
      </c>
      <c r="D707" s="1" t="s">
        <v>39</v>
      </c>
      <c r="E707" t="s">
        <v>55</v>
      </c>
      <c r="F707" t="s">
        <v>52</v>
      </c>
      <c r="I707">
        <v>1077612</v>
      </c>
      <c r="J707">
        <v>109884</v>
      </c>
    </row>
    <row r="708" spans="1:10" x14ac:dyDescent="0.25">
      <c r="A708">
        <f>A704+1</f>
        <v>11</v>
      </c>
      <c r="B708" s="1" t="s">
        <v>49</v>
      </c>
      <c r="C708" s="1" t="s">
        <v>14</v>
      </c>
      <c r="D708" s="1" t="s">
        <v>39</v>
      </c>
      <c r="E708" t="s">
        <v>56</v>
      </c>
      <c r="F708" t="s">
        <v>51</v>
      </c>
      <c r="I708">
        <v>6188948</v>
      </c>
      <c r="J708">
        <v>96097</v>
      </c>
    </row>
    <row r="709" spans="1:10" x14ac:dyDescent="0.25">
      <c r="A709">
        <f>A705+1</f>
        <v>11</v>
      </c>
      <c r="B709" s="1" t="s">
        <v>49</v>
      </c>
      <c r="C709" s="1" t="s">
        <v>14</v>
      </c>
      <c r="D709" s="1" t="s">
        <v>39</v>
      </c>
      <c r="E709" t="s">
        <v>50</v>
      </c>
      <c r="F709" t="s">
        <v>27</v>
      </c>
      <c r="I709">
        <v>1114016</v>
      </c>
      <c r="J709">
        <v>10946</v>
      </c>
    </row>
    <row r="710" spans="1:10" x14ac:dyDescent="0.25">
      <c r="A710">
        <f>A706+1</f>
        <v>12</v>
      </c>
      <c r="B710" s="1" t="s">
        <v>49</v>
      </c>
      <c r="C710" s="1" t="s">
        <v>14</v>
      </c>
      <c r="D710" s="1" t="s">
        <v>39</v>
      </c>
      <c r="E710" t="s">
        <v>51</v>
      </c>
      <c r="F710" t="s">
        <v>53</v>
      </c>
      <c r="I710">
        <v>96097</v>
      </c>
      <c r="J710">
        <v>6186573</v>
      </c>
    </row>
    <row r="711" spans="1:10" x14ac:dyDescent="0.25">
      <c r="A711">
        <f>A707+1</f>
        <v>12</v>
      </c>
      <c r="B711" s="1" t="s">
        <v>49</v>
      </c>
      <c r="C711" s="1" t="s">
        <v>14</v>
      </c>
      <c r="D711" s="1" t="s">
        <v>39</v>
      </c>
      <c r="E711" t="s">
        <v>52</v>
      </c>
      <c r="F711" t="s">
        <v>27</v>
      </c>
      <c r="I711">
        <v>109884</v>
      </c>
      <c r="J711">
        <v>10946</v>
      </c>
    </row>
    <row r="712" spans="1:10" x14ac:dyDescent="0.25">
      <c r="A712">
        <f>A708+1</f>
        <v>12</v>
      </c>
      <c r="B712" s="1" t="s">
        <v>49</v>
      </c>
      <c r="C712" s="1" t="s">
        <v>14</v>
      </c>
      <c r="D712" s="1" t="s">
        <v>39</v>
      </c>
      <c r="E712" t="s">
        <v>54</v>
      </c>
      <c r="F712" t="s">
        <v>50</v>
      </c>
      <c r="I712">
        <v>1123161</v>
      </c>
      <c r="J712">
        <v>1114016</v>
      </c>
    </row>
    <row r="713" spans="1:10" x14ac:dyDescent="0.25">
      <c r="A713">
        <f>A709+1</f>
        <v>12</v>
      </c>
      <c r="B713" s="1" t="s">
        <v>49</v>
      </c>
      <c r="C713" s="1" t="s">
        <v>14</v>
      </c>
      <c r="D713" s="1" t="s">
        <v>39</v>
      </c>
      <c r="E713" t="s">
        <v>55</v>
      </c>
      <c r="F713" t="s">
        <v>56</v>
      </c>
      <c r="I713">
        <v>1077612</v>
      </c>
      <c r="J713">
        <v>6188948</v>
      </c>
    </row>
    <row r="714" spans="1:10" x14ac:dyDescent="0.25">
      <c r="A714">
        <f>A710+1</f>
        <v>13</v>
      </c>
      <c r="B714" s="1" t="s">
        <v>49</v>
      </c>
      <c r="C714" s="1" t="s">
        <v>14</v>
      </c>
      <c r="D714" s="1" t="s">
        <v>39</v>
      </c>
      <c r="E714" t="s">
        <v>53</v>
      </c>
      <c r="F714" t="s">
        <v>55</v>
      </c>
      <c r="I714">
        <v>6186573</v>
      </c>
      <c r="J714">
        <v>1077612</v>
      </c>
    </row>
    <row r="715" spans="1:10" x14ac:dyDescent="0.25">
      <c r="A715">
        <f>A711+1</f>
        <v>13</v>
      </c>
      <c r="B715" s="1" t="s">
        <v>49</v>
      </c>
      <c r="C715" s="1" t="s">
        <v>14</v>
      </c>
      <c r="D715" s="1" t="s">
        <v>39</v>
      </c>
      <c r="E715" t="s">
        <v>56</v>
      </c>
      <c r="F715" t="s">
        <v>54</v>
      </c>
      <c r="I715">
        <v>6188948</v>
      </c>
      <c r="J715">
        <v>1123161</v>
      </c>
    </row>
    <row r="716" spans="1:10" x14ac:dyDescent="0.25">
      <c r="A716">
        <f>A712+1</f>
        <v>13</v>
      </c>
      <c r="B716" s="1" t="s">
        <v>49</v>
      </c>
      <c r="C716" s="1" t="s">
        <v>14</v>
      </c>
      <c r="D716" s="1" t="s">
        <v>39</v>
      </c>
      <c r="E716" t="s">
        <v>50</v>
      </c>
      <c r="F716" t="s">
        <v>52</v>
      </c>
      <c r="I716">
        <v>1114016</v>
      </c>
      <c r="J716">
        <v>109884</v>
      </c>
    </row>
    <row r="717" spans="1:10" x14ac:dyDescent="0.25">
      <c r="A717">
        <f>A713+1</f>
        <v>13</v>
      </c>
      <c r="B717" s="1" t="s">
        <v>49</v>
      </c>
      <c r="C717" s="1" t="s">
        <v>14</v>
      </c>
      <c r="D717" s="1" t="s">
        <v>39</v>
      </c>
      <c r="E717" t="s">
        <v>27</v>
      </c>
      <c r="F717" t="s">
        <v>51</v>
      </c>
      <c r="I717">
        <v>10946</v>
      </c>
      <c r="J717">
        <v>96097</v>
      </c>
    </row>
    <row r="718" spans="1:10" x14ac:dyDescent="0.25">
      <c r="A718">
        <f>A714+1</f>
        <v>14</v>
      </c>
      <c r="B718" s="1" t="s">
        <v>49</v>
      </c>
      <c r="C718" s="1" t="s">
        <v>14</v>
      </c>
      <c r="D718" s="1" t="s">
        <v>39</v>
      </c>
      <c r="E718" t="s">
        <v>56</v>
      </c>
      <c r="F718" t="s">
        <v>53</v>
      </c>
      <c r="I718">
        <v>6188948</v>
      </c>
      <c r="J718">
        <v>6186573</v>
      </c>
    </row>
    <row r="719" spans="1:10" x14ac:dyDescent="0.25">
      <c r="A719">
        <f>A715+1</f>
        <v>14</v>
      </c>
      <c r="B719" s="1" t="s">
        <v>49</v>
      </c>
      <c r="C719" s="1" t="s">
        <v>14</v>
      </c>
      <c r="D719" s="1" t="s">
        <v>39</v>
      </c>
      <c r="E719" t="s">
        <v>50</v>
      </c>
      <c r="F719" t="s">
        <v>55</v>
      </c>
      <c r="I719">
        <v>1114016</v>
      </c>
      <c r="J719">
        <v>1077612</v>
      </c>
    </row>
    <row r="720" spans="1:10" x14ac:dyDescent="0.25">
      <c r="A720">
        <f>A716+1</f>
        <v>14</v>
      </c>
      <c r="B720" s="1" t="s">
        <v>49</v>
      </c>
      <c r="C720" s="1" t="s">
        <v>14</v>
      </c>
      <c r="D720" s="1" t="s">
        <v>39</v>
      </c>
      <c r="E720" t="s">
        <v>27</v>
      </c>
      <c r="F720" t="s">
        <v>54</v>
      </c>
      <c r="I720">
        <v>10946</v>
      </c>
      <c r="J720">
        <v>1123161</v>
      </c>
    </row>
    <row r="721" spans="1:10" x14ac:dyDescent="0.25">
      <c r="A721">
        <f>A717+1</f>
        <v>14</v>
      </c>
      <c r="B721" s="1" t="s">
        <v>49</v>
      </c>
      <c r="C721" s="1" t="s">
        <v>14</v>
      </c>
      <c r="D721" s="1" t="s">
        <v>39</v>
      </c>
      <c r="E721" t="s">
        <v>51</v>
      </c>
      <c r="F721" t="s">
        <v>52</v>
      </c>
      <c r="I721">
        <v>96097</v>
      </c>
      <c r="J721">
        <v>109884</v>
      </c>
    </row>
    <row r="722" spans="1:10" x14ac:dyDescent="0.25">
      <c r="A722">
        <f>A718+1</f>
        <v>15</v>
      </c>
      <c r="B722" s="1" t="s">
        <v>49</v>
      </c>
      <c r="C722" s="1" t="s">
        <v>14</v>
      </c>
      <c r="D722" s="1" t="s">
        <v>39</v>
      </c>
      <c r="E722" t="s">
        <v>50</v>
      </c>
      <c r="F722" t="s">
        <v>53</v>
      </c>
      <c r="I722">
        <v>1114016</v>
      </c>
      <c r="J722">
        <v>6186573</v>
      </c>
    </row>
    <row r="723" spans="1:10" x14ac:dyDescent="0.25">
      <c r="A723">
        <f>A719+1</f>
        <v>15</v>
      </c>
      <c r="B723" s="1" t="s">
        <v>49</v>
      </c>
      <c r="C723" s="1" t="s">
        <v>14</v>
      </c>
      <c r="D723" s="1" t="s">
        <v>39</v>
      </c>
      <c r="E723" t="s">
        <v>27</v>
      </c>
      <c r="F723" t="s">
        <v>56</v>
      </c>
      <c r="I723">
        <v>10946</v>
      </c>
      <c r="J723">
        <v>6188948</v>
      </c>
    </row>
    <row r="724" spans="1:10" x14ac:dyDescent="0.25">
      <c r="A724">
        <f>A720+1</f>
        <v>15</v>
      </c>
      <c r="B724" s="1" t="s">
        <v>49</v>
      </c>
      <c r="C724" s="1" t="s">
        <v>14</v>
      </c>
      <c r="D724" s="1" t="s">
        <v>39</v>
      </c>
      <c r="E724" t="s">
        <v>51</v>
      </c>
      <c r="F724" t="s">
        <v>55</v>
      </c>
      <c r="I724">
        <v>96097</v>
      </c>
      <c r="J724">
        <v>1077612</v>
      </c>
    </row>
    <row r="725" spans="1:10" x14ac:dyDescent="0.25">
      <c r="A725">
        <f>A721+1</f>
        <v>15</v>
      </c>
      <c r="B725" s="1" t="s">
        <v>49</v>
      </c>
      <c r="C725" s="1" t="s">
        <v>14</v>
      </c>
      <c r="D725" s="1" t="s">
        <v>39</v>
      </c>
      <c r="E725" t="s">
        <v>52</v>
      </c>
      <c r="F725" t="s">
        <v>54</v>
      </c>
      <c r="I725">
        <v>109884</v>
      </c>
      <c r="J725">
        <v>1123161</v>
      </c>
    </row>
    <row r="726" spans="1:10" x14ac:dyDescent="0.25">
      <c r="A726">
        <f>A722+1</f>
        <v>16</v>
      </c>
      <c r="B726" s="1" t="s">
        <v>49</v>
      </c>
      <c r="C726" s="1" t="s">
        <v>14</v>
      </c>
      <c r="D726" s="1" t="s">
        <v>39</v>
      </c>
      <c r="E726" t="s">
        <v>53</v>
      </c>
      <c r="F726" t="s">
        <v>52</v>
      </c>
      <c r="I726">
        <v>6186573</v>
      </c>
      <c r="J726">
        <v>109884</v>
      </c>
    </row>
    <row r="727" spans="1:10" x14ac:dyDescent="0.25">
      <c r="A727">
        <f>A723+1</f>
        <v>16</v>
      </c>
      <c r="B727" s="1" t="s">
        <v>49</v>
      </c>
      <c r="C727" s="1" t="s">
        <v>14</v>
      </c>
      <c r="D727" s="1" t="s">
        <v>39</v>
      </c>
      <c r="E727" t="s">
        <v>54</v>
      </c>
      <c r="F727" t="s">
        <v>51</v>
      </c>
      <c r="I727">
        <v>1123161</v>
      </c>
      <c r="J727">
        <v>96097</v>
      </c>
    </row>
    <row r="728" spans="1:10" x14ac:dyDescent="0.25">
      <c r="A728">
        <f>A724+1</f>
        <v>16</v>
      </c>
      <c r="B728" s="1" t="s">
        <v>49</v>
      </c>
      <c r="C728" s="1" t="s">
        <v>14</v>
      </c>
      <c r="D728" s="1" t="s">
        <v>39</v>
      </c>
      <c r="E728" t="s">
        <v>55</v>
      </c>
      <c r="F728" t="s">
        <v>27</v>
      </c>
      <c r="I728">
        <v>1077612</v>
      </c>
      <c r="J728">
        <v>10946</v>
      </c>
    </row>
    <row r="729" spans="1:10" x14ac:dyDescent="0.25">
      <c r="A729">
        <f>A725+1</f>
        <v>16</v>
      </c>
      <c r="B729" s="1" t="s">
        <v>49</v>
      </c>
      <c r="C729" s="1" t="s">
        <v>14</v>
      </c>
      <c r="D729" s="1" t="s">
        <v>39</v>
      </c>
      <c r="E729" t="s">
        <v>56</v>
      </c>
      <c r="F729" t="s">
        <v>50</v>
      </c>
      <c r="I729">
        <v>6188948</v>
      </c>
      <c r="J729">
        <v>1114016</v>
      </c>
    </row>
    <row r="730" spans="1:10" x14ac:dyDescent="0.25">
      <c r="A730">
        <f>A726+1</f>
        <v>17</v>
      </c>
      <c r="B730" s="1" t="s">
        <v>49</v>
      </c>
      <c r="C730" s="1" t="s">
        <v>14</v>
      </c>
      <c r="D730" s="1" t="s">
        <v>39</v>
      </c>
      <c r="E730" t="s">
        <v>27</v>
      </c>
      <c r="F730" t="s">
        <v>53</v>
      </c>
      <c r="I730">
        <v>10946</v>
      </c>
      <c r="J730">
        <v>6186573</v>
      </c>
    </row>
    <row r="731" spans="1:10" x14ac:dyDescent="0.25">
      <c r="A731">
        <f>A727+1</f>
        <v>17</v>
      </c>
      <c r="B731" s="1" t="s">
        <v>49</v>
      </c>
      <c r="C731" s="1" t="s">
        <v>14</v>
      </c>
      <c r="D731" s="1" t="s">
        <v>39</v>
      </c>
      <c r="E731" t="s">
        <v>51</v>
      </c>
      <c r="F731" t="s">
        <v>50</v>
      </c>
      <c r="I731">
        <v>96097</v>
      </c>
      <c r="J731">
        <v>1114016</v>
      </c>
    </row>
    <row r="732" spans="1:10" x14ac:dyDescent="0.25">
      <c r="A732">
        <f>A728+1</f>
        <v>17</v>
      </c>
      <c r="B732" s="1" t="s">
        <v>49</v>
      </c>
      <c r="C732" s="1" t="s">
        <v>14</v>
      </c>
      <c r="D732" s="1" t="s">
        <v>39</v>
      </c>
      <c r="E732" t="s">
        <v>52</v>
      </c>
      <c r="F732" t="s">
        <v>56</v>
      </c>
      <c r="I732">
        <v>109884</v>
      </c>
      <c r="J732">
        <v>6188948</v>
      </c>
    </row>
    <row r="733" spans="1:10" x14ac:dyDescent="0.25">
      <c r="A733">
        <f>A729+1</f>
        <v>17</v>
      </c>
      <c r="B733" s="1" t="s">
        <v>49</v>
      </c>
      <c r="C733" s="1" t="s">
        <v>14</v>
      </c>
      <c r="D733" s="1" t="s">
        <v>39</v>
      </c>
      <c r="E733" t="s">
        <v>54</v>
      </c>
      <c r="F733" t="s">
        <v>55</v>
      </c>
      <c r="I733">
        <v>1123161</v>
      </c>
      <c r="J733">
        <v>1077612</v>
      </c>
    </row>
    <row r="734" spans="1:10" x14ac:dyDescent="0.25">
      <c r="A734">
        <f>A730+1</f>
        <v>18</v>
      </c>
      <c r="B734" s="1" t="s">
        <v>49</v>
      </c>
      <c r="C734" s="1" t="s">
        <v>14</v>
      </c>
      <c r="D734" s="1" t="s">
        <v>39</v>
      </c>
      <c r="E734" t="s">
        <v>53</v>
      </c>
      <c r="F734" t="s">
        <v>54</v>
      </c>
      <c r="I734">
        <v>6186573</v>
      </c>
      <c r="J734">
        <v>1123161</v>
      </c>
    </row>
    <row r="735" spans="1:10" x14ac:dyDescent="0.25">
      <c r="A735">
        <f>A731+1</f>
        <v>18</v>
      </c>
      <c r="B735" s="1" t="s">
        <v>49</v>
      </c>
      <c r="C735" s="1" t="s">
        <v>14</v>
      </c>
      <c r="D735" s="1" t="s">
        <v>39</v>
      </c>
      <c r="E735" t="s">
        <v>55</v>
      </c>
      <c r="F735" t="s">
        <v>52</v>
      </c>
      <c r="I735">
        <v>1077612</v>
      </c>
      <c r="J735">
        <v>109884</v>
      </c>
    </row>
    <row r="736" spans="1:10" x14ac:dyDescent="0.25">
      <c r="A736">
        <f>A732+1</f>
        <v>18</v>
      </c>
      <c r="B736" s="1" t="s">
        <v>49</v>
      </c>
      <c r="C736" s="1" t="s">
        <v>14</v>
      </c>
      <c r="D736" s="1" t="s">
        <v>39</v>
      </c>
      <c r="E736" t="s">
        <v>56</v>
      </c>
      <c r="F736" t="s">
        <v>51</v>
      </c>
      <c r="I736">
        <v>6188948</v>
      </c>
      <c r="J736">
        <v>96097</v>
      </c>
    </row>
    <row r="737" spans="1:10" x14ac:dyDescent="0.25">
      <c r="A737">
        <f>A733+1</f>
        <v>18</v>
      </c>
      <c r="B737" s="1" t="s">
        <v>49</v>
      </c>
      <c r="C737" s="1" t="s">
        <v>14</v>
      </c>
      <c r="D737" s="1" t="s">
        <v>39</v>
      </c>
      <c r="E737" t="s">
        <v>50</v>
      </c>
      <c r="F737" t="s">
        <v>27</v>
      </c>
      <c r="I737">
        <v>1114016</v>
      </c>
      <c r="J737">
        <v>10946</v>
      </c>
    </row>
    <row r="738" spans="1:10" x14ac:dyDescent="0.25">
      <c r="A738">
        <f>A734+1</f>
        <v>19</v>
      </c>
      <c r="B738" s="1" t="s">
        <v>49</v>
      </c>
      <c r="C738" s="1" t="s">
        <v>14</v>
      </c>
      <c r="D738" s="1" t="s">
        <v>39</v>
      </c>
      <c r="E738" t="s">
        <v>51</v>
      </c>
      <c r="F738" t="s">
        <v>53</v>
      </c>
      <c r="I738">
        <v>96097</v>
      </c>
      <c r="J738">
        <v>6186573</v>
      </c>
    </row>
    <row r="739" spans="1:10" x14ac:dyDescent="0.25">
      <c r="A739">
        <f>A735+1</f>
        <v>19</v>
      </c>
      <c r="B739" s="1" t="s">
        <v>49</v>
      </c>
      <c r="C739" s="1" t="s">
        <v>14</v>
      </c>
      <c r="D739" s="1" t="s">
        <v>39</v>
      </c>
      <c r="E739" t="s">
        <v>52</v>
      </c>
      <c r="F739" t="s">
        <v>27</v>
      </c>
      <c r="I739">
        <v>109884</v>
      </c>
      <c r="J739">
        <v>10946</v>
      </c>
    </row>
    <row r="740" spans="1:10" x14ac:dyDescent="0.25">
      <c r="A740">
        <f>A736+1</f>
        <v>19</v>
      </c>
      <c r="B740" s="1" t="s">
        <v>49</v>
      </c>
      <c r="C740" s="1" t="s">
        <v>14</v>
      </c>
      <c r="D740" s="1" t="s">
        <v>39</v>
      </c>
      <c r="E740" t="s">
        <v>54</v>
      </c>
      <c r="F740" t="s">
        <v>50</v>
      </c>
      <c r="I740">
        <v>1123161</v>
      </c>
      <c r="J740">
        <v>1114016</v>
      </c>
    </row>
    <row r="741" spans="1:10" x14ac:dyDescent="0.25">
      <c r="A741">
        <f>A737+1</f>
        <v>19</v>
      </c>
      <c r="B741" s="1" t="s">
        <v>49</v>
      </c>
      <c r="C741" s="1" t="s">
        <v>14</v>
      </c>
      <c r="D741" s="1" t="s">
        <v>39</v>
      </c>
      <c r="E741" t="s">
        <v>55</v>
      </c>
      <c r="F741" t="s">
        <v>56</v>
      </c>
      <c r="I741">
        <v>1077612</v>
      </c>
      <c r="J741">
        <v>6188948</v>
      </c>
    </row>
    <row r="742" spans="1:10" x14ac:dyDescent="0.25">
      <c r="A742">
        <f>A738+1</f>
        <v>20</v>
      </c>
      <c r="B742" s="1" t="s">
        <v>49</v>
      </c>
      <c r="C742" s="1" t="s">
        <v>14</v>
      </c>
      <c r="D742" s="1" t="s">
        <v>39</v>
      </c>
      <c r="E742" t="s">
        <v>53</v>
      </c>
      <c r="F742" t="s">
        <v>55</v>
      </c>
      <c r="I742">
        <v>6186573</v>
      </c>
      <c r="J742">
        <v>1077612</v>
      </c>
    </row>
    <row r="743" spans="1:10" x14ac:dyDescent="0.25">
      <c r="A743">
        <f>A739+1</f>
        <v>20</v>
      </c>
      <c r="B743" s="1" t="s">
        <v>49</v>
      </c>
      <c r="C743" s="1" t="s">
        <v>14</v>
      </c>
      <c r="D743" s="1" t="s">
        <v>39</v>
      </c>
      <c r="E743" t="s">
        <v>56</v>
      </c>
      <c r="F743" t="s">
        <v>54</v>
      </c>
      <c r="I743">
        <v>6188948</v>
      </c>
      <c r="J743">
        <v>1123161</v>
      </c>
    </row>
    <row r="744" spans="1:10" x14ac:dyDescent="0.25">
      <c r="A744">
        <f>A740+1</f>
        <v>20</v>
      </c>
      <c r="B744" s="1" t="s">
        <v>49</v>
      </c>
      <c r="C744" s="1" t="s">
        <v>14</v>
      </c>
      <c r="D744" s="1" t="s">
        <v>39</v>
      </c>
      <c r="E744" t="s">
        <v>50</v>
      </c>
      <c r="F744" t="s">
        <v>52</v>
      </c>
      <c r="I744">
        <v>1114016</v>
      </c>
      <c r="J744">
        <v>109884</v>
      </c>
    </row>
    <row r="745" spans="1:10" x14ac:dyDescent="0.25">
      <c r="A745">
        <f>A741+1</f>
        <v>20</v>
      </c>
      <c r="B745" s="1" t="s">
        <v>49</v>
      </c>
      <c r="C745" s="1" t="s">
        <v>14</v>
      </c>
      <c r="D745" s="1" t="s">
        <v>39</v>
      </c>
      <c r="E745" t="s">
        <v>27</v>
      </c>
      <c r="F745" t="s">
        <v>51</v>
      </c>
      <c r="I745">
        <v>10946</v>
      </c>
      <c r="J745">
        <v>96097</v>
      </c>
    </row>
    <row r="746" spans="1:10" x14ac:dyDescent="0.25">
      <c r="A746">
        <f>A742+1</f>
        <v>21</v>
      </c>
      <c r="B746" s="1" t="s">
        <v>49</v>
      </c>
      <c r="C746" s="1" t="s">
        <v>14</v>
      </c>
      <c r="D746" s="1" t="s">
        <v>39</v>
      </c>
      <c r="E746" t="s">
        <v>56</v>
      </c>
      <c r="F746" t="s">
        <v>53</v>
      </c>
      <c r="I746">
        <v>6188948</v>
      </c>
      <c r="J746">
        <v>6186573</v>
      </c>
    </row>
    <row r="747" spans="1:10" x14ac:dyDescent="0.25">
      <c r="A747">
        <f>A743+1</f>
        <v>21</v>
      </c>
      <c r="B747" s="1" t="s">
        <v>49</v>
      </c>
      <c r="C747" s="1" t="s">
        <v>14</v>
      </c>
      <c r="D747" s="1" t="s">
        <v>39</v>
      </c>
      <c r="E747" t="s">
        <v>50</v>
      </c>
      <c r="F747" t="s">
        <v>55</v>
      </c>
      <c r="I747">
        <v>1114016</v>
      </c>
      <c r="J747">
        <v>1077612</v>
      </c>
    </row>
    <row r="748" spans="1:10" x14ac:dyDescent="0.25">
      <c r="A748">
        <f>A744+1</f>
        <v>21</v>
      </c>
      <c r="B748" s="1" t="s">
        <v>49</v>
      </c>
      <c r="C748" s="1" t="s">
        <v>14</v>
      </c>
      <c r="D748" s="1" t="s">
        <v>39</v>
      </c>
      <c r="E748" t="s">
        <v>27</v>
      </c>
      <c r="F748" t="s">
        <v>54</v>
      </c>
      <c r="I748">
        <v>10946</v>
      </c>
      <c r="J748">
        <v>1123161</v>
      </c>
    </row>
    <row r="749" spans="1:10" x14ac:dyDescent="0.25">
      <c r="A749">
        <f>A745+1</f>
        <v>21</v>
      </c>
      <c r="B749" s="1" t="s">
        <v>49</v>
      </c>
      <c r="C749" s="1" t="s">
        <v>14</v>
      </c>
      <c r="D749" s="1" t="s">
        <v>39</v>
      </c>
      <c r="E749" t="s">
        <v>51</v>
      </c>
      <c r="F749" t="s">
        <v>52</v>
      </c>
      <c r="I749">
        <v>96097</v>
      </c>
      <c r="J749">
        <v>109884</v>
      </c>
    </row>
    <row r="750" spans="1:10" x14ac:dyDescent="0.25">
      <c r="A750">
        <f>A746+1</f>
        <v>22</v>
      </c>
      <c r="B750" s="1" t="s">
        <v>49</v>
      </c>
      <c r="C750" s="1" t="s">
        <v>14</v>
      </c>
      <c r="D750" s="1" t="s">
        <v>39</v>
      </c>
      <c r="E750" t="s">
        <v>50</v>
      </c>
      <c r="F750" t="s">
        <v>53</v>
      </c>
      <c r="I750">
        <v>1114016</v>
      </c>
      <c r="J750">
        <v>6186573</v>
      </c>
    </row>
    <row r="751" spans="1:10" x14ac:dyDescent="0.25">
      <c r="A751">
        <f>A747+1</f>
        <v>22</v>
      </c>
      <c r="B751" s="1" t="s">
        <v>49</v>
      </c>
      <c r="C751" s="1" t="s">
        <v>14</v>
      </c>
      <c r="D751" s="1" t="s">
        <v>39</v>
      </c>
      <c r="E751" t="s">
        <v>27</v>
      </c>
      <c r="F751" t="s">
        <v>56</v>
      </c>
      <c r="I751">
        <v>10946</v>
      </c>
      <c r="J751">
        <v>6188948</v>
      </c>
    </row>
    <row r="752" spans="1:10" x14ac:dyDescent="0.25">
      <c r="A752">
        <f>A748+1</f>
        <v>22</v>
      </c>
      <c r="B752" s="1" t="s">
        <v>49</v>
      </c>
      <c r="C752" s="1" t="s">
        <v>14</v>
      </c>
      <c r="D752" s="1" t="s">
        <v>39</v>
      </c>
      <c r="E752" t="s">
        <v>51</v>
      </c>
      <c r="F752" t="s">
        <v>55</v>
      </c>
      <c r="I752">
        <v>96097</v>
      </c>
      <c r="J752">
        <v>1077612</v>
      </c>
    </row>
    <row r="753" spans="1:10" x14ac:dyDescent="0.25">
      <c r="A753">
        <f>A749+1</f>
        <v>22</v>
      </c>
      <c r="B753" s="1" t="s">
        <v>49</v>
      </c>
      <c r="C753" s="1" t="s">
        <v>14</v>
      </c>
      <c r="D753" s="1" t="s">
        <v>39</v>
      </c>
      <c r="E753" t="s">
        <v>52</v>
      </c>
      <c r="F753" t="s">
        <v>54</v>
      </c>
      <c r="I753">
        <v>109884</v>
      </c>
      <c r="J753">
        <v>1123161</v>
      </c>
    </row>
    <row r="754" spans="1:10" x14ac:dyDescent="0.25">
      <c r="A754">
        <v>23</v>
      </c>
      <c r="B754" s="1" t="s">
        <v>49</v>
      </c>
      <c r="C754" t="s">
        <v>37</v>
      </c>
      <c r="D754" s="1" t="s">
        <v>40</v>
      </c>
      <c r="E754" t="s">
        <v>52</v>
      </c>
      <c r="F754" t="s">
        <v>51</v>
      </c>
      <c r="I754">
        <v>109884</v>
      </c>
      <c r="J754">
        <v>96097</v>
      </c>
    </row>
    <row r="755" spans="1:10" x14ac:dyDescent="0.25">
      <c r="A755">
        <v>23</v>
      </c>
      <c r="B755" s="1" t="s">
        <v>49</v>
      </c>
      <c r="C755" t="s">
        <v>37</v>
      </c>
      <c r="D755" s="1" t="s">
        <v>40</v>
      </c>
      <c r="E755" t="s">
        <v>27</v>
      </c>
      <c r="F755" t="s">
        <v>56</v>
      </c>
      <c r="I755">
        <v>10946</v>
      </c>
      <c r="J755">
        <v>6188948</v>
      </c>
    </row>
    <row r="756" spans="1:10" x14ac:dyDescent="0.25">
      <c r="A756">
        <v>23</v>
      </c>
      <c r="B756" s="1" t="s">
        <v>49</v>
      </c>
      <c r="C756" t="s">
        <v>37</v>
      </c>
      <c r="D756" s="1" t="s">
        <v>40</v>
      </c>
      <c r="E756" t="s">
        <v>53</v>
      </c>
      <c r="F756" t="s">
        <v>50</v>
      </c>
      <c r="I756">
        <v>6186573</v>
      </c>
      <c r="J756">
        <v>1114016</v>
      </c>
    </row>
    <row r="757" spans="1:10" x14ac:dyDescent="0.25">
      <c r="A757">
        <v>23</v>
      </c>
      <c r="B757" s="1" t="s">
        <v>49</v>
      </c>
      <c r="C757" t="s">
        <v>37</v>
      </c>
      <c r="D757" s="1" t="s">
        <v>40</v>
      </c>
      <c r="E757" t="s">
        <v>54</v>
      </c>
      <c r="F757" t="s">
        <v>55</v>
      </c>
      <c r="I757">
        <v>1123161</v>
      </c>
      <c r="J757">
        <v>1077612</v>
      </c>
    </row>
    <row r="758" spans="1:10" x14ac:dyDescent="0.25">
      <c r="A758">
        <f>A754+1</f>
        <v>24</v>
      </c>
      <c r="B758" s="1" t="s">
        <v>49</v>
      </c>
      <c r="C758" s="1" t="s">
        <v>14</v>
      </c>
      <c r="D758" s="1" t="s">
        <v>39</v>
      </c>
      <c r="E758" t="s">
        <v>53</v>
      </c>
      <c r="F758" t="s">
        <v>52</v>
      </c>
      <c r="I758">
        <v>6186573</v>
      </c>
      <c r="J758">
        <v>109884</v>
      </c>
    </row>
    <row r="759" spans="1:10" x14ac:dyDescent="0.25">
      <c r="A759">
        <f>A755+1</f>
        <v>24</v>
      </c>
      <c r="B759" s="1" t="s">
        <v>49</v>
      </c>
      <c r="C759" s="1" t="s">
        <v>14</v>
      </c>
      <c r="D759" s="1" t="s">
        <v>39</v>
      </c>
      <c r="E759" t="s">
        <v>54</v>
      </c>
      <c r="F759" t="s">
        <v>51</v>
      </c>
      <c r="I759">
        <v>1123161</v>
      </c>
      <c r="J759">
        <v>96097</v>
      </c>
    </row>
    <row r="760" spans="1:10" x14ac:dyDescent="0.25">
      <c r="A760">
        <f>A756+1</f>
        <v>24</v>
      </c>
      <c r="B760" s="1" t="s">
        <v>49</v>
      </c>
      <c r="C760" s="1" t="s">
        <v>14</v>
      </c>
      <c r="D760" s="1" t="s">
        <v>39</v>
      </c>
      <c r="E760" t="s">
        <v>55</v>
      </c>
      <c r="F760" t="s">
        <v>27</v>
      </c>
      <c r="I760">
        <v>1077612</v>
      </c>
      <c r="J760">
        <v>10946</v>
      </c>
    </row>
    <row r="761" spans="1:10" x14ac:dyDescent="0.25">
      <c r="A761">
        <f>A757+1</f>
        <v>24</v>
      </c>
      <c r="B761" s="1" t="s">
        <v>49</v>
      </c>
      <c r="C761" s="1" t="s">
        <v>14</v>
      </c>
      <c r="D761" s="1" t="s">
        <v>39</v>
      </c>
      <c r="E761" t="s">
        <v>56</v>
      </c>
      <c r="F761" t="s">
        <v>50</v>
      </c>
      <c r="I761">
        <v>6188948</v>
      </c>
      <c r="J761">
        <v>1114016</v>
      </c>
    </row>
    <row r="762" spans="1:10" x14ac:dyDescent="0.25">
      <c r="A762">
        <v>24</v>
      </c>
      <c r="B762" s="1" t="s">
        <v>49</v>
      </c>
      <c r="C762" t="s">
        <v>37</v>
      </c>
      <c r="D762" s="1" t="s">
        <v>40</v>
      </c>
      <c r="E762" t="s">
        <v>56</v>
      </c>
      <c r="F762" t="s">
        <v>27</v>
      </c>
      <c r="I762">
        <v>6188948</v>
      </c>
      <c r="J762">
        <v>10946</v>
      </c>
    </row>
    <row r="763" spans="1:10" x14ac:dyDescent="0.25">
      <c r="A763">
        <v>24</v>
      </c>
      <c r="B763" s="1" t="s">
        <v>49</v>
      </c>
      <c r="C763" t="s">
        <v>37</v>
      </c>
      <c r="D763" s="1" t="s">
        <v>40</v>
      </c>
      <c r="E763" t="s">
        <v>50</v>
      </c>
      <c r="F763" t="s">
        <v>53</v>
      </c>
      <c r="I763">
        <v>1114016</v>
      </c>
      <c r="J763">
        <v>6186573</v>
      </c>
    </row>
    <row r="764" spans="1:10" x14ac:dyDescent="0.25">
      <c r="A764">
        <v>24</v>
      </c>
      <c r="B764" s="1" t="s">
        <v>49</v>
      </c>
      <c r="C764" t="s">
        <v>37</v>
      </c>
      <c r="D764" s="1" t="s">
        <v>40</v>
      </c>
      <c r="E764" t="s">
        <v>51</v>
      </c>
      <c r="F764" t="s">
        <v>52</v>
      </c>
      <c r="I764">
        <v>96097</v>
      </c>
      <c r="J764">
        <v>109884</v>
      </c>
    </row>
    <row r="765" spans="1:10" x14ac:dyDescent="0.25">
      <c r="A765">
        <v>24</v>
      </c>
      <c r="B765" s="1" t="s">
        <v>49</v>
      </c>
      <c r="C765" t="s">
        <v>37</v>
      </c>
      <c r="D765" s="1" t="s">
        <v>40</v>
      </c>
      <c r="E765" t="s">
        <v>55</v>
      </c>
      <c r="F765" t="s">
        <v>54</v>
      </c>
      <c r="I765">
        <v>1077612</v>
      </c>
      <c r="J765">
        <v>1123161</v>
      </c>
    </row>
    <row r="766" spans="1:10" x14ac:dyDescent="0.25">
      <c r="A766">
        <f>A762+1</f>
        <v>25</v>
      </c>
      <c r="B766" s="1" t="s">
        <v>49</v>
      </c>
      <c r="C766" s="1" t="s">
        <v>14</v>
      </c>
      <c r="D766" s="1" t="s">
        <v>39</v>
      </c>
      <c r="E766" t="s">
        <v>27</v>
      </c>
      <c r="F766" t="s">
        <v>53</v>
      </c>
      <c r="I766">
        <v>10946</v>
      </c>
      <c r="J766">
        <v>6186573</v>
      </c>
    </row>
    <row r="767" spans="1:10" x14ac:dyDescent="0.25">
      <c r="A767">
        <f>A763+1</f>
        <v>25</v>
      </c>
      <c r="B767" s="1" t="s">
        <v>49</v>
      </c>
      <c r="C767" s="1" t="s">
        <v>14</v>
      </c>
      <c r="D767" s="1" t="s">
        <v>39</v>
      </c>
      <c r="E767" t="s">
        <v>51</v>
      </c>
      <c r="F767" t="s">
        <v>50</v>
      </c>
      <c r="I767">
        <v>96097</v>
      </c>
      <c r="J767">
        <v>1114016</v>
      </c>
    </row>
    <row r="768" spans="1:10" x14ac:dyDescent="0.25">
      <c r="A768">
        <f>A764+1</f>
        <v>25</v>
      </c>
      <c r="B768" s="1" t="s">
        <v>49</v>
      </c>
      <c r="C768" s="1" t="s">
        <v>14</v>
      </c>
      <c r="D768" s="1" t="s">
        <v>39</v>
      </c>
      <c r="E768" t="s">
        <v>52</v>
      </c>
      <c r="F768" t="s">
        <v>56</v>
      </c>
      <c r="I768">
        <v>109884</v>
      </c>
      <c r="J768">
        <v>6188948</v>
      </c>
    </row>
    <row r="769" spans="1:10" x14ac:dyDescent="0.25">
      <c r="A769">
        <f>A765+1</f>
        <v>25</v>
      </c>
      <c r="B769" s="1" t="s">
        <v>49</v>
      </c>
      <c r="C769" s="1" t="s">
        <v>14</v>
      </c>
      <c r="D769" s="1" t="s">
        <v>39</v>
      </c>
      <c r="E769" t="s">
        <v>54</v>
      </c>
      <c r="F769" t="s">
        <v>55</v>
      </c>
      <c r="I769">
        <v>1123161</v>
      </c>
      <c r="J769">
        <v>1077612</v>
      </c>
    </row>
    <row r="770" spans="1:10" x14ac:dyDescent="0.25">
      <c r="A770">
        <v>25</v>
      </c>
      <c r="B770" s="1" t="s">
        <v>49</v>
      </c>
      <c r="C770" t="s">
        <v>37</v>
      </c>
      <c r="D770" t="s">
        <v>47</v>
      </c>
      <c r="E770" t="s">
        <v>52</v>
      </c>
      <c r="F770" t="s">
        <v>50</v>
      </c>
      <c r="I770">
        <v>109884</v>
      </c>
      <c r="J770">
        <v>1114016</v>
      </c>
    </row>
    <row r="771" spans="1:10" x14ac:dyDescent="0.25">
      <c r="A771">
        <v>25</v>
      </c>
      <c r="B771" s="1" t="s">
        <v>49</v>
      </c>
      <c r="C771" t="s">
        <v>37</v>
      </c>
      <c r="D771" t="s">
        <v>47</v>
      </c>
      <c r="E771" t="s">
        <v>27</v>
      </c>
      <c r="F771" t="s">
        <v>55</v>
      </c>
      <c r="I771">
        <v>10946</v>
      </c>
      <c r="J771">
        <v>1077612</v>
      </c>
    </row>
    <row r="772" spans="1:10" x14ac:dyDescent="0.25">
      <c r="A772">
        <f>A768+1</f>
        <v>26</v>
      </c>
      <c r="B772" s="1" t="s">
        <v>49</v>
      </c>
      <c r="C772" s="1" t="s">
        <v>14</v>
      </c>
      <c r="D772" s="1" t="s">
        <v>39</v>
      </c>
      <c r="E772" t="s">
        <v>53</v>
      </c>
      <c r="F772" t="s">
        <v>54</v>
      </c>
      <c r="I772">
        <v>6186573</v>
      </c>
      <c r="J772">
        <v>1123161</v>
      </c>
    </row>
    <row r="773" spans="1:10" x14ac:dyDescent="0.25">
      <c r="A773">
        <f>A769+1</f>
        <v>26</v>
      </c>
      <c r="B773" s="1" t="s">
        <v>49</v>
      </c>
      <c r="C773" s="1" t="s">
        <v>14</v>
      </c>
      <c r="D773" s="1" t="s">
        <v>39</v>
      </c>
      <c r="E773" t="s">
        <v>55</v>
      </c>
      <c r="F773" t="s">
        <v>52</v>
      </c>
      <c r="I773">
        <v>1077612</v>
      </c>
      <c r="J773">
        <v>109884</v>
      </c>
    </row>
    <row r="774" spans="1:10" x14ac:dyDescent="0.25">
      <c r="A774">
        <f>A770+1</f>
        <v>26</v>
      </c>
      <c r="B774" s="1" t="s">
        <v>49</v>
      </c>
      <c r="C774" s="1" t="s">
        <v>14</v>
      </c>
      <c r="D774" s="1" t="s">
        <v>39</v>
      </c>
      <c r="E774" t="s">
        <v>56</v>
      </c>
      <c r="F774" t="s">
        <v>51</v>
      </c>
      <c r="I774">
        <v>6188948</v>
      </c>
      <c r="J774">
        <v>96097</v>
      </c>
    </row>
    <row r="775" spans="1:10" x14ac:dyDescent="0.25">
      <c r="A775">
        <f>A771+1</f>
        <v>26</v>
      </c>
      <c r="B775" s="1" t="s">
        <v>49</v>
      </c>
      <c r="C775" s="1" t="s">
        <v>14</v>
      </c>
      <c r="D775" s="1" t="s">
        <v>39</v>
      </c>
      <c r="E775" t="s">
        <v>50</v>
      </c>
      <c r="F775" t="s">
        <v>27</v>
      </c>
      <c r="I775">
        <v>1114016</v>
      </c>
      <c r="J775">
        <v>10946</v>
      </c>
    </row>
    <row r="776" spans="1:10" x14ac:dyDescent="0.25">
      <c r="A776">
        <v>26</v>
      </c>
      <c r="B776" s="1" t="s">
        <v>49</v>
      </c>
      <c r="C776" t="s">
        <v>37</v>
      </c>
      <c r="D776" t="s">
        <v>47</v>
      </c>
      <c r="E776" t="s">
        <v>50</v>
      </c>
      <c r="F776" t="s">
        <v>52</v>
      </c>
      <c r="I776">
        <v>1114016</v>
      </c>
      <c r="J776">
        <v>109884</v>
      </c>
    </row>
    <row r="777" spans="1:10" x14ac:dyDescent="0.25">
      <c r="A777">
        <v>26</v>
      </c>
      <c r="B777" s="1" t="s">
        <v>49</v>
      </c>
      <c r="C777" t="s">
        <v>37</v>
      </c>
      <c r="D777" t="s">
        <v>47</v>
      </c>
      <c r="E777" t="s">
        <v>55</v>
      </c>
      <c r="F777" t="s">
        <v>27</v>
      </c>
      <c r="I777">
        <v>1077612</v>
      </c>
      <c r="J777">
        <v>10946</v>
      </c>
    </row>
    <row r="778" spans="1:10" x14ac:dyDescent="0.25">
      <c r="A778">
        <f>A774+1</f>
        <v>27</v>
      </c>
      <c r="B778" s="1" t="s">
        <v>49</v>
      </c>
      <c r="C778" s="1" t="s">
        <v>14</v>
      </c>
      <c r="D778" s="1" t="s">
        <v>39</v>
      </c>
      <c r="E778" t="s">
        <v>51</v>
      </c>
      <c r="F778" t="s">
        <v>53</v>
      </c>
      <c r="I778">
        <v>96097</v>
      </c>
      <c r="J778">
        <v>6186573</v>
      </c>
    </row>
    <row r="779" spans="1:10" x14ac:dyDescent="0.25">
      <c r="A779">
        <f>A775+1</f>
        <v>27</v>
      </c>
      <c r="B779" s="1" t="s">
        <v>49</v>
      </c>
      <c r="C779" s="1" t="s">
        <v>14</v>
      </c>
      <c r="D779" s="1" t="s">
        <v>39</v>
      </c>
      <c r="E779" t="s">
        <v>52</v>
      </c>
      <c r="F779" t="s">
        <v>27</v>
      </c>
      <c r="I779">
        <v>109884</v>
      </c>
      <c r="J779">
        <v>10946</v>
      </c>
    </row>
    <row r="780" spans="1:10" x14ac:dyDescent="0.25">
      <c r="A780">
        <f>A776+1</f>
        <v>27</v>
      </c>
      <c r="B780" s="1" t="s">
        <v>49</v>
      </c>
      <c r="C780" s="1" t="s">
        <v>14</v>
      </c>
      <c r="D780" s="1" t="s">
        <v>39</v>
      </c>
      <c r="E780" t="s">
        <v>54</v>
      </c>
      <c r="F780" t="s">
        <v>50</v>
      </c>
      <c r="I780">
        <v>1123161</v>
      </c>
      <c r="J780">
        <v>1114016</v>
      </c>
    </row>
    <row r="781" spans="1:10" x14ac:dyDescent="0.25">
      <c r="A781">
        <f>A777+1</f>
        <v>27</v>
      </c>
      <c r="B781" s="1" t="s">
        <v>49</v>
      </c>
      <c r="C781" s="1" t="s">
        <v>14</v>
      </c>
      <c r="D781" s="1" t="s">
        <v>39</v>
      </c>
      <c r="E781" t="s">
        <v>55</v>
      </c>
      <c r="F781" t="s">
        <v>56</v>
      </c>
      <c r="I781">
        <v>1077612</v>
      </c>
      <c r="J781">
        <v>6188948</v>
      </c>
    </row>
    <row r="782" spans="1:10" x14ac:dyDescent="0.25">
      <c r="A782">
        <v>27</v>
      </c>
      <c r="B782" s="1" t="s">
        <v>49</v>
      </c>
      <c r="C782" t="s">
        <v>37</v>
      </c>
      <c r="D782" t="s">
        <v>48</v>
      </c>
    </row>
    <row r="783" spans="1:10" x14ac:dyDescent="0.25">
      <c r="A783">
        <f>A779+1</f>
        <v>28</v>
      </c>
      <c r="B783" s="1" t="s">
        <v>49</v>
      </c>
      <c r="C783" s="1" t="s">
        <v>14</v>
      </c>
      <c r="D783" s="1" t="s">
        <v>39</v>
      </c>
      <c r="E783" t="s">
        <v>53</v>
      </c>
      <c r="F783" t="s">
        <v>55</v>
      </c>
      <c r="I783">
        <v>6186573</v>
      </c>
      <c r="J783">
        <v>1077612</v>
      </c>
    </row>
    <row r="784" spans="1:10" x14ac:dyDescent="0.25">
      <c r="A784">
        <f>A780+1</f>
        <v>28</v>
      </c>
      <c r="B784" s="1" t="s">
        <v>49</v>
      </c>
      <c r="C784" s="1" t="s">
        <v>14</v>
      </c>
      <c r="D784" s="1" t="s">
        <v>39</v>
      </c>
      <c r="E784" t="s">
        <v>56</v>
      </c>
      <c r="F784" t="s">
        <v>54</v>
      </c>
      <c r="I784">
        <v>6188948</v>
      </c>
      <c r="J784">
        <v>1123161</v>
      </c>
    </row>
    <row r="785" spans="1:10" x14ac:dyDescent="0.25">
      <c r="A785">
        <f>A781+1</f>
        <v>28</v>
      </c>
      <c r="B785" s="1" t="s">
        <v>49</v>
      </c>
      <c r="C785" s="1" t="s">
        <v>14</v>
      </c>
      <c r="D785" s="1" t="s">
        <v>39</v>
      </c>
      <c r="E785" t="s">
        <v>50</v>
      </c>
      <c r="F785" t="s">
        <v>52</v>
      </c>
      <c r="I785">
        <v>1114016</v>
      </c>
      <c r="J785">
        <v>109884</v>
      </c>
    </row>
    <row r="786" spans="1:10" x14ac:dyDescent="0.25">
      <c r="A786">
        <f>A782+1</f>
        <v>28</v>
      </c>
      <c r="B786" s="1" t="s">
        <v>49</v>
      </c>
      <c r="C786" s="1" t="s">
        <v>14</v>
      </c>
      <c r="D786" s="1" t="s">
        <v>39</v>
      </c>
      <c r="E786" t="s">
        <v>27</v>
      </c>
      <c r="F786" t="s">
        <v>51</v>
      </c>
      <c r="I786">
        <v>10946</v>
      </c>
      <c r="J786">
        <v>96097</v>
      </c>
    </row>
    <row r="787" spans="1:10" x14ac:dyDescent="0.25">
      <c r="A787">
        <v>28</v>
      </c>
      <c r="B787" s="1" t="s">
        <v>49</v>
      </c>
      <c r="C787" t="s">
        <v>37</v>
      </c>
      <c r="D787" t="s">
        <v>48</v>
      </c>
    </row>
    <row r="788" spans="1:10" x14ac:dyDescent="0.25">
      <c r="A788">
        <f>A784+1</f>
        <v>29</v>
      </c>
      <c r="B788" s="1" t="s">
        <v>49</v>
      </c>
      <c r="C788" s="1" t="s">
        <v>14</v>
      </c>
      <c r="D788" s="1" t="s">
        <v>39</v>
      </c>
      <c r="E788" t="s">
        <v>56</v>
      </c>
      <c r="F788" t="s">
        <v>53</v>
      </c>
      <c r="I788">
        <v>6188948</v>
      </c>
      <c r="J788">
        <v>6186573</v>
      </c>
    </row>
    <row r="789" spans="1:10" x14ac:dyDescent="0.25">
      <c r="A789">
        <f>A785+1</f>
        <v>29</v>
      </c>
      <c r="B789" s="1" t="s">
        <v>49</v>
      </c>
      <c r="C789" s="1" t="s">
        <v>14</v>
      </c>
      <c r="D789" s="1" t="s">
        <v>39</v>
      </c>
      <c r="E789" t="s">
        <v>50</v>
      </c>
      <c r="F789" t="s">
        <v>55</v>
      </c>
      <c r="I789">
        <v>1114016</v>
      </c>
      <c r="J789">
        <v>1077612</v>
      </c>
    </row>
    <row r="790" spans="1:10" x14ac:dyDescent="0.25">
      <c r="A790">
        <f>A786+1</f>
        <v>29</v>
      </c>
      <c r="B790" s="1" t="s">
        <v>49</v>
      </c>
      <c r="C790" s="1" t="s">
        <v>14</v>
      </c>
      <c r="D790" s="1" t="s">
        <v>39</v>
      </c>
      <c r="E790" t="s">
        <v>27</v>
      </c>
      <c r="F790" t="s">
        <v>54</v>
      </c>
      <c r="I790">
        <v>10946</v>
      </c>
      <c r="J790">
        <v>1123161</v>
      </c>
    </row>
    <row r="791" spans="1:10" x14ac:dyDescent="0.25">
      <c r="A791">
        <f>A787+1</f>
        <v>29</v>
      </c>
      <c r="B791" s="1" t="s">
        <v>49</v>
      </c>
      <c r="C791" s="1" t="s">
        <v>14</v>
      </c>
      <c r="D791" s="1" t="s">
        <v>39</v>
      </c>
      <c r="E791" t="s">
        <v>51</v>
      </c>
      <c r="F791" t="s">
        <v>52</v>
      </c>
      <c r="I791">
        <v>96097</v>
      </c>
      <c r="J791">
        <v>109884</v>
      </c>
    </row>
    <row r="792" spans="1:10" x14ac:dyDescent="0.25">
      <c r="A792">
        <f>A788+1</f>
        <v>30</v>
      </c>
      <c r="B792" s="1" t="s">
        <v>49</v>
      </c>
      <c r="C792" s="1" t="s">
        <v>14</v>
      </c>
      <c r="D792" s="1" t="s">
        <v>39</v>
      </c>
      <c r="E792" t="s">
        <v>50</v>
      </c>
      <c r="F792" t="s">
        <v>53</v>
      </c>
      <c r="I792">
        <v>1114016</v>
      </c>
      <c r="J792">
        <v>6186573</v>
      </c>
    </row>
    <row r="793" spans="1:10" x14ac:dyDescent="0.25">
      <c r="A793">
        <f>A789+1</f>
        <v>30</v>
      </c>
      <c r="B793" s="1" t="s">
        <v>49</v>
      </c>
      <c r="C793" s="1" t="s">
        <v>14</v>
      </c>
      <c r="D793" s="1" t="s">
        <v>39</v>
      </c>
      <c r="E793" t="s">
        <v>27</v>
      </c>
      <c r="F793" t="s">
        <v>56</v>
      </c>
      <c r="I793">
        <v>10946</v>
      </c>
      <c r="J793">
        <v>6188948</v>
      </c>
    </row>
    <row r="794" spans="1:10" x14ac:dyDescent="0.25">
      <c r="A794">
        <f>A790+1</f>
        <v>30</v>
      </c>
      <c r="B794" s="1" t="s">
        <v>49</v>
      </c>
      <c r="C794" s="1" t="s">
        <v>14</v>
      </c>
      <c r="D794" s="1" t="s">
        <v>39</v>
      </c>
      <c r="E794" t="s">
        <v>51</v>
      </c>
      <c r="F794" t="s">
        <v>55</v>
      </c>
      <c r="I794">
        <v>96097</v>
      </c>
      <c r="J794">
        <v>1077612</v>
      </c>
    </row>
    <row r="795" spans="1:10" x14ac:dyDescent="0.25">
      <c r="A795">
        <f>A791+1</f>
        <v>30</v>
      </c>
      <c r="B795" s="1" t="s">
        <v>49</v>
      </c>
      <c r="C795" s="1" t="s">
        <v>14</v>
      </c>
      <c r="D795" s="1" t="s">
        <v>39</v>
      </c>
      <c r="E795" t="s">
        <v>52</v>
      </c>
      <c r="F795" t="s">
        <v>54</v>
      </c>
      <c r="I795">
        <v>109884</v>
      </c>
      <c r="J795">
        <v>1123161</v>
      </c>
    </row>
    <row r="796" spans="1:10" x14ac:dyDescent="0.25">
      <c r="A796">
        <f>A792+1</f>
        <v>31</v>
      </c>
      <c r="B796" s="1" t="s">
        <v>49</v>
      </c>
      <c r="C796" s="1" t="s">
        <v>14</v>
      </c>
      <c r="D796" s="1" t="s">
        <v>39</v>
      </c>
      <c r="E796" t="s">
        <v>53</v>
      </c>
      <c r="F796" t="s">
        <v>52</v>
      </c>
      <c r="I796">
        <v>6186573</v>
      </c>
      <c r="J796">
        <v>109884</v>
      </c>
    </row>
    <row r="797" spans="1:10" x14ac:dyDescent="0.25">
      <c r="A797">
        <f>A793+1</f>
        <v>31</v>
      </c>
      <c r="B797" s="1" t="s">
        <v>49</v>
      </c>
      <c r="C797" s="1" t="s">
        <v>14</v>
      </c>
      <c r="D797" s="1" t="s">
        <v>39</v>
      </c>
      <c r="E797" t="s">
        <v>54</v>
      </c>
      <c r="F797" t="s">
        <v>51</v>
      </c>
      <c r="I797">
        <v>1123161</v>
      </c>
      <c r="J797">
        <v>96097</v>
      </c>
    </row>
    <row r="798" spans="1:10" x14ac:dyDescent="0.25">
      <c r="A798">
        <f>A794+1</f>
        <v>31</v>
      </c>
      <c r="B798" s="1" t="s">
        <v>49</v>
      </c>
      <c r="C798" s="1" t="s">
        <v>14</v>
      </c>
      <c r="D798" s="1" t="s">
        <v>39</v>
      </c>
      <c r="E798" t="s">
        <v>55</v>
      </c>
      <c r="F798" t="s">
        <v>27</v>
      </c>
      <c r="I798">
        <v>1077612</v>
      </c>
      <c r="J798">
        <v>10946</v>
      </c>
    </row>
    <row r="799" spans="1:10" x14ac:dyDescent="0.25">
      <c r="A799">
        <f>A795+1</f>
        <v>31</v>
      </c>
      <c r="B799" s="1" t="s">
        <v>49</v>
      </c>
      <c r="C799" s="1" t="s">
        <v>14</v>
      </c>
      <c r="D799" s="1" t="s">
        <v>39</v>
      </c>
      <c r="E799" t="s">
        <v>56</v>
      </c>
      <c r="F799" t="s">
        <v>50</v>
      </c>
      <c r="I799">
        <v>6188948</v>
      </c>
      <c r="J799">
        <v>1114016</v>
      </c>
    </row>
    <row r="800" spans="1:10" x14ac:dyDescent="0.25">
      <c r="A800">
        <f>A796+1</f>
        <v>32</v>
      </c>
      <c r="B800" s="1" t="s">
        <v>49</v>
      </c>
      <c r="C800" s="1" t="s">
        <v>14</v>
      </c>
      <c r="D800" s="1" t="s">
        <v>39</v>
      </c>
      <c r="E800" t="s">
        <v>27</v>
      </c>
      <c r="F800" t="s">
        <v>53</v>
      </c>
      <c r="I800">
        <v>10946</v>
      </c>
      <c r="J800">
        <v>6186573</v>
      </c>
    </row>
    <row r="801" spans="1:10" x14ac:dyDescent="0.25">
      <c r="A801">
        <f>A797+1</f>
        <v>32</v>
      </c>
      <c r="B801" s="1" t="s">
        <v>49</v>
      </c>
      <c r="C801" s="1" t="s">
        <v>14</v>
      </c>
      <c r="D801" s="1" t="s">
        <v>39</v>
      </c>
      <c r="E801" t="s">
        <v>51</v>
      </c>
      <c r="F801" t="s">
        <v>50</v>
      </c>
      <c r="I801">
        <v>96097</v>
      </c>
      <c r="J801">
        <v>1114016</v>
      </c>
    </row>
    <row r="802" spans="1:10" x14ac:dyDescent="0.25">
      <c r="A802">
        <f>A798+1</f>
        <v>32</v>
      </c>
      <c r="B802" s="1" t="s">
        <v>49</v>
      </c>
      <c r="C802" s="1" t="s">
        <v>14</v>
      </c>
      <c r="D802" s="1" t="s">
        <v>39</v>
      </c>
      <c r="E802" t="s">
        <v>52</v>
      </c>
      <c r="F802" t="s">
        <v>56</v>
      </c>
      <c r="I802">
        <v>109884</v>
      </c>
      <c r="J802">
        <v>6188948</v>
      </c>
    </row>
    <row r="803" spans="1:10" x14ac:dyDescent="0.25">
      <c r="A803">
        <f>A799+1</f>
        <v>32</v>
      </c>
      <c r="B803" s="1" t="s">
        <v>49</v>
      </c>
      <c r="C803" s="1" t="s">
        <v>14</v>
      </c>
      <c r="D803" s="1" t="s">
        <v>39</v>
      </c>
      <c r="E803" t="s">
        <v>54</v>
      </c>
      <c r="F803" t="s">
        <v>55</v>
      </c>
      <c r="I803">
        <v>1123161</v>
      </c>
      <c r="J803">
        <v>1077612</v>
      </c>
    </row>
    <row r="804" spans="1:10" x14ac:dyDescent="0.25">
      <c r="A804">
        <f>A800+1</f>
        <v>33</v>
      </c>
      <c r="B804" s="1" t="s">
        <v>49</v>
      </c>
      <c r="C804" s="1" t="s">
        <v>14</v>
      </c>
      <c r="D804" s="1" t="s">
        <v>39</v>
      </c>
      <c r="E804" t="s">
        <v>53</v>
      </c>
      <c r="F804" t="s">
        <v>54</v>
      </c>
      <c r="I804">
        <v>6186573</v>
      </c>
      <c r="J804">
        <v>1123161</v>
      </c>
    </row>
    <row r="805" spans="1:10" x14ac:dyDescent="0.25">
      <c r="A805">
        <f>A801+1</f>
        <v>33</v>
      </c>
      <c r="B805" s="1" t="s">
        <v>49</v>
      </c>
      <c r="C805" s="1" t="s">
        <v>14</v>
      </c>
      <c r="D805" s="1" t="s">
        <v>39</v>
      </c>
      <c r="E805" t="s">
        <v>55</v>
      </c>
      <c r="F805" t="s">
        <v>52</v>
      </c>
      <c r="I805">
        <v>1077612</v>
      </c>
      <c r="J805">
        <v>109884</v>
      </c>
    </row>
    <row r="806" spans="1:10" x14ac:dyDescent="0.25">
      <c r="A806">
        <f>A802+1</f>
        <v>33</v>
      </c>
      <c r="B806" s="1" t="s">
        <v>49</v>
      </c>
      <c r="C806" s="1" t="s">
        <v>14</v>
      </c>
      <c r="D806" s="1" t="s">
        <v>39</v>
      </c>
      <c r="E806" t="s">
        <v>56</v>
      </c>
      <c r="F806" t="s">
        <v>51</v>
      </c>
      <c r="I806">
        <v>6188948</v>
      </c>
      <c r="J806">
        <v>96097</v>
      </c>
    </row>
    <row r="807" spans="1:10" x14ac:dyDescent="0.25">
      <c r="A807">
        <f>A803+1</f>
        <v>33</v>
      </c>
      <c r="B807" s="1" t="s">
        <v>49</v>
      </c>
      <c r="C807" s="1" t="s">
        <v>14</v>
      </c>
      <c r="D807" s="1" t="s">
        <v>39</v>
      </c>
      <c r="E807" t="s">
        <v>50</v>
      </c>
      <c r="F807" t="s">
        <v>27</v>
      </c>
      <c r="I807">
        <v>1114016</v>
      </c>
      <c r="J807">
        <v>10946</v>
      </c>
    </row>
    <row r="808" spans="1:10" x14ac:dyDescent="0.25">
      <c r="A808">
        <f>A804+1</f>
        <v>34</v>
      </c>
      <c r="B808" s="1" t="s">
        <v>49</v>
      </c>
      <c r="C808" s="1" t="s">
        <v>14</v>
      </c>
      <c r="D808" s="1" t="s">
        <v>39</v>
      </c>
      <c r="E808" t="s">
        <v>51</v>
      </c>
      <c r="F808" t="s">
        <v>53</v>
      </c>
      <c r="I808">
        <v>96097</v>
      </c>
      <c r="J808">
        <v>6186573</v>
      </c>
    </row>
    <row r="809" spans="1:10" x14ac:dyDescent="0.25">
      <c r="A809">
        <f>A805+1</f>
        <v>34</v>
      </c>
      <c r="B809" s="1" t="s">
        <v>49</v>
      </c>
      <c r="C809" s="1" t="s">
        <v>14</v>
      </c>
      <c r="D809" s="1" t="s">
        <v>39</v>
      </c>
      <c r="E809" t="s">
        <v>52</v>
      </c>
      <c r="F809" t="s">
        <v>27</v>
      </c>
      <c r="I809">
        <v>109884</v>
      </c>
      <c r="J809">
        <v>10946</v>
      </c>
    </row>
    <row r="810" spans="1:10" x14ac:dyDescent="0.25">
      <c r="A810">
        <f>A806+1</f>
        <v>34</v>
      </c>
      <c r="B810" s="1" t="s">
        <v>49</v>
      </c>
      <c r="C810" s="1" t="s">
        <v>14</v>
      </c>
      <c r="D810" s="1" t="s">
        <v>39</v>
      </c>
      <c r="E810" t="s">
        <v>54</v>
      </c>
      <c r="F810" t="s">
        <v>50</v>
      </c>
      <c r="I810">
        <v>1123161</v>
      </c>
      <c r="J810">
        <v>1114016</v>
      </c>
    </row>
    <row r="811" spans="1:10" x14ac:dyDescent="0.25">
      <c r="A811">
        <f>A807+1</f>
        <v>34</v>
      </c>
      <c r="B811" s="1" t="s">
        <v>49</v>
      </c>
      <c r="C811" s="1" t="s">
        <v>14</v>
      </c>
      <c r="D811" s="1" t="s">
        <v>39</v>
      </c>
      <c r="E811" t="s">
        <v>55</v>
      </c>
      <c r="F811" t="s">
        <v>56</v>
      </c>
      <c r="I811">
        <v>1077612</v>
      </c>
      <c r="J811">
        <v>6188948</v>
      </c>
    </row>
    <row r="812" spans="1:10" x14ac:dyDescent="0.25">
      <c r="A812">
        <f>A808+1</f>
        <v>35</v>
      </c>
      <c r="B812" s="1" t="s">
        <v>49</v>
      </c>
      <c r="C812" s="1" t="s">
        <v>14</v>
      </c>
      <c r="D812" s="1" t="s">
        <v>39</v>
      </c>
      <c r="E812" t="s">
        <v>53</v>
      </c>
      <c r="F812" t="s">
        <v>55</v>
      </c>
      <c r="I812">
        <v>6186573</v>
      </c>
      <c r="J812">
        <v>1077612</v>
      </c>
    </row>
    <row r="813" spans="1:10" x14ac:dyDescent="0.25">
      <c r="A813">
        <f>A809+1</f>
        <v>35</v>
      </c>
      <c r="B813" s="1" t="s">
        <v>49</v>
      </c>
      <c r="C813" s="1" t="s">
        <v>14</v>
      </c>
      <c r="D813" s="1" t="s">
        <v>39</v>
      </c>
      <c r="E813" t="s">
        <v>56</v>
      </c>
      <c r="F813" t="s">
        <v>54</v>
      </c>
      <c r="I813">
        <v>6188948</v>
      </c>
      <c r="J813">
        <v>1123161</v>
      </c>
    </row>
    <row r="814" spans="1:10" x14ac:dyDescent="0.25">
      <c r="A814">
        <f>A810+1</f>
        <v>35</v>
      </c>
      <c r="B814" s="1" t="s">
        <v>49</v>
      </c>
      <c r="C814" s="1" t="s">
        <v>14</v>
      </c>
      <c r="D814" s="1" t="s">
        <v>39</v>
      </c>
      <c r="E814" t="s">
        <v>50</v>
      </c>
      <c r="F814" t="s">
        <v>52</v>
      </c>
      <c r="I814">
        <v>1114016</v>
      </c>
      <c r="J814">
        <v>109884</v>
      </c>
    </row>
    <row r="815" spans="1:10" x14ac:dyDescent="0.25">
      <c r="A815">
        <f>A811+1</f>
        <v>35</v>
      </c>
      <c r="B815" s="1" t="s">
        <v>49</v>
      </c>
      <c r="C815" s="1" t="s">
        <v>14</v>
      </c>
      <c r="D815" s="1" t="s">
        <v>39</v>
      </c>
      <c r="E815" t="s">
        <v>27</v>
      </c>
      <c r="F815" t="s">
        <v>51</v>
      </c>
      <c r="I815">
        <v>10946</v>
      </c>
      <c r="J815">
        <v>96097</v>
      </c>
    </row>
    <row r="816" spans="1:10" x14ac:dyDescent="0.25">
      <c r="A816">
        <f>A812+1</f>
        <v>36</v>
      </c>
      <c r="B816" s="1" t="s">
        <v>49</v>
      </c>
      <c r="C816" s="1" t="s">
        <v>14</v>
      </c>
      <c r="D816" s="1" t="s">
        <v>39</v>
      </c>
      <c r="E816" t="s">
        <v>56</v>
      </c>
      <c r="F816" t="s">
        <v>53</v>
      </c>
      <c r="I816">
        <v>6188948</v>
      </c>
      <c r="J816">
        <v>6186573</v>
      </c>
    </row>
    <row r="817" spans="1:10" x14ac:dyDescent="0.25">
      <c r="A817">
        <f>A813+1</f>
        <v>36</v>
      </c>
      <c r="B817" s="1" t="s">
        <v>49</v>
      </c>
      <c r="C817" s="1" t="s">
        <v>14</v>
      </c>
      <c r="D817" s="1" t="s">
        <v>39</v>
      </c>
      <c r="E817" t="s">
        <v>50</v>
      </c>
      <c r="F817" t="s">
        <v>55</v>
      </c>
      <c r="I817">
        <v>1114016</v>
      </c>
      <c r="J817">
        <v>1077612</v>
      </c>
    </row>
    <row r="818" spans="1:10" x14ac:dyDescent="0.25">
      <c r="A818">
        <f>A814+1</f>
        <v>36</v>
      </c>
      <c r="B818" s="1" t="s">
        <v>49</v>
      </c>
      <c r="C818" s="1" t="s">
        <v>14</v>
      </c>
      <c r="D818" s="1" t="s">
        <v>39</v>
      </c>
      <c r="E818" t="s">
        <v>27</v>
      </c>
      <c r="F818" t="s">
        <v>54</v>
      </c>
      <c r="I818">
        <v>10946</v>
      </c>
      <c r="J818">
        <v>1123161</v>
      </c>
    </row>
    <row r="819" spans="1:10" x14ac:dyDescent="0.25">
      <c r="A819">
        <f>A815+1</f>
        <v>36</v>
      </c>
      <c r="B819" s="1" t="s">
        <v>49</v>
      </c>
      <c r="C819" s="1" t="s">
        <v>14</v>
      </c>
      <c r="D819" s="1" t="s">
        <v>39</v>
      </c>
      <c r="E819" t="s">
        <v>51</v>
      </c>
      <c r="F819" t="s">
        <v>52</v>
      </c>
      <c r="I819">
        <v>96097</v>
      </c>
      <c r="J819">
        <v>109884</v>
      </c>
    </row>
    <row r="820" spans="1:10" x14ac:dyDescent="0.25">
      <c r="A820">
        <f>A816+1</f>
        <v>37</v>
      </c>
      <c r="B820" s="1" t="s">
        <v>49</v>
      </c>
      <c r="C820" s="1" t="s">
        <v>14</v>
      </c>
      <c r="D820" s="1" t="s">
        <v>40</v>
      </c>
    </row>
    <row r="821" spans="1:10" x14ac:dyDescent="0.25">
      <c r="A821">
        <f>A817+1</f>
        <v>37</v>
      </c>
      <c r="B821" s="1" t="s">
        <v>49</v>
      </c>
      <c r="C821" s="1" t="s">
        <v>14</v>
      </c>
      <c r="D821" s="1" t="s">
        <v>40</v>
      </c>
    </row>
    <row r="822" spans="1:10" x14ac:dyDescent="0.25">
      <c r="A822">
        <f>A818+1</f>
        <v>37</v>
      </c>
      <c r="B822" s="1" t="s">
        <v>49</v>
      </c>
      <c r="C822" s="1" t="s">
        <v>14</v>
      </c>
      <c r="D822" s="1" t="s">
        <v>40</v>
      </c>
    </row>
    <row r="823" spans="1:10" x14ac:dyDescent="0.25">
      <c r="A823">
        <f>A819+1</f>
        <v>37</v>
      </c>
      <c r="B823" s="1" t="s">
        <v>49</v>
      </c>
      <c r="C823" s="1" t="s">
        <v>14</v>
      </c>
      <c r="D823" s="1" t="s">
        <v>40</v>
      </c>
    </row>
    <row r="824" spans="1:10" x14ac:dyDescent="0.25">
      <c r="A824">
        <f>A820+1</f>
        <v>38</v>
      </c>
      <c r="B824" s="1" t="s">
        <v>49</v>
      </c>
      <c r="C824" s="1" t="s">
        <v>14</v>
      </c>
      <c r="D824" s="1" t="s">
        <v>41</v>
      </c>
    </row>
    <row r="825" spans="1:10" x14ac:dyDescent="0.25">
      <c r="A825">
        <f>A821+1</f>
        <v>38</v>
      </c>
      <c r="B825" s="1" t="s">
        <v>49</v>
      </c>
      <c r="C825" s="1" t="s">
        <v>14</v>
      </c>
      <c r="D825" s="1" t="s">
        <v>42</v>
      </c>
    </row>
    <row r="826" spans="1:10" x14ac:dyDescent="0.25">
      <c r="A826">
        <f>A822+1</f>
        <v>38</v>
      </c>
      <c r="B826" s="1" t="s">
        <v>49</v>
      </c>
      <c r="C826" s="1" t="s">
        <v>14</v>
      </c>
      <c r="D826" s="1" t="s">
        <v>42</v>
      </c>
    </row>
    <row r="827" spans="1:10" x14ac:dyDescent="0.25">
      <c r="A827">
        <f>A823+1</f>
        <v>38</v>
      </c>
      <c r="B827" s="1" t="s">
        <v>49</v>
      </c>
      <c r="C827" s="1" t="s">
        <v>14</v>
      </c>
      <c r="D827" s="1" t="s">
        <v>41</v>
      </c>
    </row>
    <row r="828" spans="1:10" x14ac:dyDescent="0.25">
      <c r="A828">
        <f>A824+1</f>
        <v>39</v>
      </c>
      <c r="B828" s="1" t="s">
        <v>49</v>
      </c>
      <c r="C828" s="1" t="s">
        <v>14</v>
      </c>
      <c r="D828" s="1" t="s">
        <v>46</v>
      </c>
    </row>
    <row r="829" spans="1:10" x14ac:dyDescent="0.25">
      <c r="A829">
        <f>A825+1</f>
        <v>39</v>
      </c>
      <c r="B829" s="1" t="s">
        <v>49</v>
      </c>
      <c r="C829" s="1" t="s">
        <v>14</v>
      </c>
      <c r="D829" s="1" t="s">
        <v>45</v>
      </c>
    </row>
    <row r="830" spans="1:10" x14ac:dyDescent="0.25">
      <c r="A830">
        <f>A826+1</f>
        <v>39</v>
      </c>
      <c r="B830" s="1" t="s">
        <v>49</v>
      </c>
      <c r="C830" s="1" t="s">
        <v>14</v>
      </c>
      <c r="D830" s="1" t="s">
        <v>44</v>
      </c>
    </row>
    <row r="831" spans="1:10" x14ac:dyDescent="0.25">
      <c r="A831">
        <f>A827+1</f>
        <v>39</v>
      </c>
      <c r="B831" s="1" t="s">
        <v>49</v>
      </c>
      <c r="C831" s="1" t="s">
        <v>14</v>
      </c>
      <c r="D831" s="1" t="s">
        <v>43</v>
      </c>
    </row>
  </sheetData>
  <autoFilter ref="A1:J831" xr:uid="{76B79605-92AA-4E64-AEF7-FA585D964EBD}">
    <sortState xmlns:xlrd2="http://schemas.microsoft.com/office/spreadsheetml/2017/richdata2" ref="A2:J831">
      <sortCondition ref="B2:B831"/>
      <sortCondition ref="A2:A831"/>
    </sortState>
  </autoFilter>
  <sortState xmlns:xlrd2="http://schemas.microsoft.com/office/spreadsheetml/2017/richdata2" ref="A2:J831">
    <sortCondition ref="C2:C831"/>
    <sortCondition ref="B2:B831"/>
    <sortCondition ref="A2:A831"/>
    <sortCondition ref="E2:E8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47AF-803F-4683-AE7E-4722491BC93E}">
  <dimension ref="A1:I46"/>
  <sheetViews>
    <sheetView workbookViewId="0">
      <selection activeCell="G7" sqref="G7:J21"/>
    </sheetView>
  </sheetViews>
  <sheetFormatPr defaultRowHeight="13.5" x14ac:dyDescent="0.25"/>
  <cols>
    <col min="1" max="1" width="15" style="3" bestFit="1" customWidth="1"/>
    <col min="2" max="2" width="20.85546875" style="3" bestFit="1" customWidth="1"/>
    <col min="3" max="3" width="8.7109375" style="3" bestFit="1" customWidth="1"/>
    <col min="4" max="4" width="8" style="3" bestFit="1" customWidth="1"/>
    <col min="5" max="16384" width="9.140625" style="3"/>
  </cols>
  <sheetData>
    <row r="1" spans="1:9" x14ac:dyDescent="0.25">
      <c r="A1" s="3" t="s">
        <v>1</v>
      </c>
      <c r="B1" s="3" t="s">
        <v>64</v>
      </c>
      <c r="C1" s="3" t="s">
        <v>65</v>
      </c>
      <c r="D1" s="3" t="s">
        <v>66</v>
      </c>
    </row>
    <row r="2" spans="1:9" x14ac:dyDescent="0.25">
      <c r="A2" s="4" t="s">
        <v>67</v>
      </c>
      <c r="B2" s="3" t="s">
        <v>10</v>
      </c>
      <c r="C2" s="4" t="s">
        <v>72</v>
      </c>
      <c r="D2" s="4">
        <v>882240</v>
      </c>
    </row>
    <row r="3" spans="1:9" x14ac:dyDescent="0.25">
      <c r="A3" s="4" t="s">
        <v>67</v>
      </c>
      <c r="B3" s="3" t="s">
        <v>8</v>
      </c>
      <c r="C3" s="4" t="s">
        <v>30</v>
      </c>
      <c r="D3" s="4">
        <v>2438353</v>
      </c>
    </row>
    <row r="4" spans="1:9" x14ac:dyDescent="0.25">
      <c r="A4" s="4" t="s">
        <v>67</v>
      </c>
      <c r="B4" s="3" t="s">
        <v>6</v>
      </c>
      <c r="C4" s="4" t="s">
        <v>31</v>
      </c>
      <c r="D4" s="4">
        <v>2441126</v>
      </c>
    </row>
    <row r="5" spans="1:9" x14ac:dyDescent="0.25">
      <c r="A5" s="4" t="s">
        <v>67</v>
      </c>
      <c r="B5" s="3" t="s">
        <v>74</v>
      </c>
      <c r="C5" s="4" t="s">
        <v>32</v>
      </c>
      <c r="D5" s="4">
        <v>2439477</v>
      </c>
    </row>
    <row r="6" spans="1:9" x14ac:dyDescent="0.25">
      <c r="A6" s="4" t="s">
        <v>67</v>
      </c>
      <c r="B6" s="3" t="s">
        <v>75</v>
      </c>
      <c r="C6" s="4" t="s">
        <v>33</v>
      </c>
      <c r="D6" s="4">
        <v>2445169</v>
      </c>
    </row>
    <row r="7" spans="1:9" x14ac:dyDescent="0.25">
      <c r="A7" s="4" t="s">
        <v>67</v>
      </c>
      <c r="B7" s="3" t="s">
        <v>7</v>
      </c>
      <c r="C7" s="4" t="s">
        <v>34</v>
      </c>
      <c r="D7" s="4">
        <v>2438184</v>
      </c>
    </row>
    <row r="8" spans="1:9" x14ac:dyDescent="0.25">
      <c r="A8" s="4" t="s">
        <v>67</v>
      </c>
      <c r="B8" s="3" t="s">
        <v>73</v>
      </c>
      <c r="C8" s="4" t="s">
        <v>35</v>
      </c>
      <c r="D8" s="4">
        <v>2440073</v>
      </c>
    </row>
    <row r="9" spans="1:9" x14ac:dyDescent="0.25">
      <c r="A9" s="4" t="s">
        <v>67</v>
      </c>
      <c r="B9" s="3" t="s">
        <v>9</v>
      </c>
      <c r="C9" s="4" t="s">
        <v>36</v>
      </c>
      <c r="D9" s="4">
        <v>2752114</v>
      </c>
      <c r="H9" s="6"/>
      <c r="I9"/>
    </row>
    <row r="10" spans="1:9" x14ac:dyDescent="0.25">
      <c r="A10" s="4" t="s">
        <v>68</v>
      </c>
      <c r="B10" s="3" t="s">
        <v>18</v>
      </c>
      <c r="C10" s="4" t="s">
        <v>72</v>
      </c>
      <c r="D10" s="4">
        <v>36150</v>
      </c>
      <c r="H10" s="5"/>
      <c r="I10"/>
    </row>
    <row r="11" spans="1:9" x14ac:dyDescent="0.25">
      <c r="A11" s="4" t="s">
        <v>68</v>
      </c>
      <c r="B11" s="3" t="s">
        <v>15</v>
      </c>
      <c r="C11" s="4" t="s">
        <v>30</v>
      </c>
      <c r="D11" s="4">
        <v>3801379</v>
      </c>
      <c r="H11" s="5"/>
      <c r="I11"/>
    </row>
    <row r="12" spans="1:9" x14ac:dyDescent="0.25">
      <c r="A12" s="4" t="s">
        <v>68</v>
      </c>
      <c r="B12" s="3" t="s">
        <v>16</v>
      </c>
      <c r="C12" s="4" t="s">
        <v>31</v>
      </c>
      <c r="D12" s="4">
        <v>2347381</v>
      </c>
      <c r="H12" s="5"/>
      <c r="I12"/>
    </row>
    <row r="13" spans="1:9" x14ac:dyDescent="0.25">
      <c r="A13" s="4" t="s">
        <v>68</v>
      </c>
      <c r="B13" s="3" t="s">
        <v>17</v>
      </c>
      <c r="C13" s="4" t="s">
        <v>32</v>
      </c>
      <c r="D13" s="4">
        <v>16280</v>
      </c>
      <c r="H13" s="7"/>
    </row>
    <row r="14" spans="1:9" x14ac:dyDescent="0.25">
      <c r="A14" s="4" t="s">
        <v>68</v>
      </c>
      <c r="B14" s="3" t="s">
        <v>19</v>
      </c>
      <c r="C14" s="4" t="s">
        <v>33</v>
      </c>
      <c r="D14" s="4">
        <v>3803304</v>
      </c>
      <c r="H14" s="5"/>
      <c r="I14"/>
    </row>
    <row r="15" spans="1:9" x14ac:dyDescent="0.25">
      <c r="A15" s="4" t="s">
        <v>68</v>
      </c>
      <c r="B15" s="3" t="s">
        <v>20</v>
      </c>
      <c r="C15" s="4" t="s">
        <v>34</v>
      </c>
      <c r="D15" s="4">
        <v>3802409</v>
      </c>
      <c r="H15" s="5"/>
      <c r="I15"/>
    </row>
    <row r="16" spans="1:9" x14ac:dyDescent="0.25">
      <c r="A16" s="4" t="s">
        <v>68</v>
      </c>
      <c r="B16" s="3" t="s">
        <v>79</v>
      </c>
      <c r="C16" s="4" t="s">
        <v>35</v>
      </c>
      <c r="D16" s="4">
        <v>3824633</v>
      </c>
      <c r="H16" s="5"/>
      <c r="I16"/>
    </row>
    <row r="17" spans="1:9" x14ac:dyDescent="0.25">
      <c r="A17" s="4" t="s">
        <v>68</v>
      </c>
      <c r="B17" s="3" t="s">
        <v>78</v>
      </c>
      <c r="C17" s="4" t="s">
        <v>36</v>
      </c>
      <c r="D17" s="4">
        <v>3823441</v>
      </c>
      <c r="H17" s="5"/>
      <c r="I17"/>
    </row>
    <row r="18" spans="1:9" x14ac:dyDescent="0.25">
      <c r="A18" s="4" t="s">
        <v>69</v>
      </c>
      <c r="B18" s="3" t="s">
        <v>25</v>
      </c>
      <c r="C18" s="4" t="s">
        <v>72</v>
      </c>
      <c r="D18" s="4">
        <v>1106737</v>
      </c>
    </row>
    <row r="19" spans="1:9" x14ac:dyDescent="0.25">
      <c r="A19" s="4" t="s">
        <v>69</v>
      </c>
      <c r="B19" s="3" t="s">
        <v>24</v>
      </c>
      <c r="C19" s="4" t="s">
        <v>30</v>
      </c>
      <c r="D19" s="4">
        <v>3015602</v>
      </c>
    </row>
    <row r="20" spans="1:9" x14ac:dyDescent="0.25">
      <c r="A20" s="4" t="s">
        <v>69</v>
      </c>
      <c r="B20" s="3" t="s">
        <v>27</v>
      </c>
      <c r="C20" s="4" t="s">
        <v>31</v>
      </c>
      <c r="D20" s="4">
        <v>1177922</v>
      </c>
    </row>
    <row r="21" spans="1:9" x14ac:dyDescent="0.25">
      <c r="A21" s="4" t="s">
        <v>69</v>
      </c>
      <c r="B21" s="3" t="s">
        <v>22</v>
      </c>
      <c r="C21" s="4" t="s">
        <v>32</v>
      </c>
      <c r="D21" s="4">
        <v>191239</v>
      </c>
    </row>
    <row r="22" spans="1:9" x14ac:dyDescent="0.25">
      <c r="A22" s="4" t="s">
        <v>69</v>
      </c>
      <c r="B22" s="3" t="s">
        <v>28</v>
      </c>
      <c r="C22" s="4" t="s">
        <v>33</v>
      </c>
      <c r="D22" s="4">
        <v>3014705</v>
      </c>
    </row>
    <row r="23" spans="1:9" x14ac:dyDescent="0.25">
      <c r="A23" s="4" t="s">
        <v>69</v>
      </c>
      <c r="B23" s="3" t="s">
        <v>23</v>
      </c>
      <c r="C23" s="4" t="s">
        <v>34</v>
      </c>
      <c r="D23" s="4">
        <v>3014211</v>
      </c>
    </row>
    <row r="24" spans="1:9" x14ac:dyDescent="0.25">
      <c r="A24" s="4" t="s">
        <v>69</v>
      </c>
      <c r="B24" s="3" t="s">
        <v>80</v>
      </c>
      <c r="C24" s="4" t="s">
        <v>35</v>
      </c>
      <c r="D24" s="4">
        <v>200257</v>
      </c>
    </row>
    <row r="25" spans="1:9" x14ac:dyDescent="0.25">
      <c r="A25" s="4" t="s">
        <v>69</v>
      </c>
      <c r="B25" s="3" t="s">
        <v>26</v>
      </c>
      <c r="C25" s="4" t="s">
        <v>36</v>
      </c>
      <c r="D25" s="4">
        <v>2359578</v>
      </c>
    </row>
    <row r="26" spans="1:9" x14ac:dyDescent="0.25">
      <c r="A26" s="4" t="s">
        <v>70</v>
      </c>
      <c r="B26" s="3" t="s">
        <v>51</v>
      </c>
      <c r="C26" s="4" t="s">
        <v>72</v>
      </c>
      <c r="D26" s="4">
        <v>2564951</v>
      </c>
    </row>
    <row r="27" spans="1:9" x14ac:dyDescent="0.25">
      <c r="A27" s="4" t="s">
        <v>70</v>
      </c>
      <c r="B27" s="3" t="s">
        <v>59</v>
      </c>
      <c r="C27" s="4" t="s">
        <v>30</v>
      </c>
      <c r="D27" s="4">
        <v>2957407</v>
      </c>
    </row>
    <row r="28" spans="1:9" x14ac:dyDescent="0.25">
      <c r="A28" s="4" t="s">
        <v>70</v>
      </c>
      <c r="B28" s="3" t="s">
        <v>27</v>
      </c>
      <c r="C28" s="4" t="s">
        <v>31</v>
      </c>
      <c r="D28" s="4">
        <v>19690</v>
      </c>
    </row>
    <row r="29" spans="1:9" x14ac:dyDescent="0.25">
      <c r="A29" s="4" t="s">
        <v>70</v>
      </c>
      <c r="B29" s="3" t="s">
        <v>61</v>
      </c>
      <c r="C29" s="4" t="s">
        <v>32</v>
      </c>
      <c r="D29" s="4">
        <v>646361</v>
      </c>
    </row>
    <row r="30" spans="1:9" x14ac:dyDescent="0.25">
      <c r="A30" s="4" t="s">
        <v>70</v>
      </c>
      <c r="B30" s="3" t="s">
        <v>60</v>
      </c>
      <c r="C30" s="4" t="s">
        <v>33</v>
      </c>
      <c r="D30" s="4">
        <v>2955410</v>
      </c>
    </row>
    <row r="31" spans="1:9" x14ac:dyDescent="0.25">
      <c r="A31" s="4" t="s">
        <v>70</v>
      </c>
      <c r="B31" s="3" t="s">
        <v>23</v>
      </c>
      <c r="C31" s="4" t="s">
        <v>34</v>
      </c>
      <c r="D31" s="4">
        <v>824491</v>
      </c>
    </row>
    <row r="32" spans="1:9" x14ac:dyDescent="0.25">
      <c r="A32" s="4" t="s">
        <v>70</v>
      </c>
      <c r="B32" s="3" t="s">
        <v>58</v>
      </c>
      <c r="C32" s="4" t="s">
        <v>35</v>
      </c>
      <c r="D32" s="4">
        <v>705479</v>
      </c>
    </row>
    <row r="33" spans="1:4" x14ac:dyDescent="0.25">
      <c r="A33" s="4" t="s">
        <v>70</v>
      </c>
      <c r="B33" s="3" t="s">
        <v>62</v>
      </c>
      <c r="C33" s="4" t="s">
        <v>36</v>
      </c>
      <c r="D33" s="4">
        <v>2955408</v>
      </c>
    </row>
    <row r="34" spans="1:4" x14ac:dyDescent="0.25">
      <c r="A34" s="4" t="s">
        <v>71</v>
      </c>
      <c r="C34" s="4" t="s">
        <v>72</v>
      </c>
      <c r="D34" s="4">
        <v>96097</v>
      </c>
    </row>
    <row r="35" spans="1:4" x14ac:dyDescent="0.25">
      <c r="A35" s="4" t="s">
        <v>71</v>
      </c>
      <c r="C35" s="4" t="s">
        <v>30</v>
      </c>
      <c r="D35" s="4">
        <v>6186573</v>
      </c>
    </row>
    <row r="36" spans="1:4" x14ac:dyDescent="0.25">
      <c r="A36" s="4" t="s">
        <v>71</v>
      </c>
      <c r="C36" s="4" t="s">
        <v>31</v>
      </c>
      <c r="D36" s="4">
        <v>10946</v>
      </c>
    </row>
    <row r="37" spans="1:4" x14ac:dyDescent="0.25">
      <c r="A37" s="4" t="s">
        <v>71</v>
      </c>
      <c r="C37" s="4" t="s">
        <v>32</v>
      </c>
      <c r="D37" s="4">
        <v>109884</v>
      </c>
    </row>
    <row r="38" spans="1:4" x14ac:dyDescent="0.25">
      <c r="A38" s="4" t="s">
        <v>71</v>
      </c>
      <c r="C38" s="4" t="s">
        <v>33</v>
      </c>
      <c r="D38" s="4">
        <v>6188948</v>
      </c>
    </row>
    <row r="39" spans="1:4" x14ac:dyDescent="0.25">
      <c r="A39" s="4" t="s">
        <v>71</v>
      </c>
      <c r="C39" s="4" t="s">
        <v>34</v>
      </c>
      <c r="D39" s="4">
        <v>1114016</v>
      </c>
    </row>
    <row r="40" spans="1:4" x14ac:dyDescent="0.25">
      <c r="A40" s="4" t="s">
        <v>71</v>
      </c>
      <c r="C40" s="4" t="s">
        <v>35</v>
      </c>
      <c r="D40" s="4">
        <v>1077612</v>
      </c>
    </row>
    <row r="41" spans="1:4" x14ac:dyDescent="0.25">
      <c r="A41" s="4" t="s">
        <v>71</v>
      </c>
      <c r="C41" s="4" t="s">
        <v>36</v>
      </c>
      <c r="D41" s="4">
        <v>1123161</v>
      </c>
    </row>
    <row r="42" spans="1:4" x14ac:dyDescent="0.25">
      <c r="A42" s="4"/>
      <c r="C42" s="4"/>
      <c r="D42" s="4"/>
    </row>
    <row r="43" spans="1:4" x14ac:dyDescent="0.25">
      <c r="A43" s="4"/>
      <c r="C43" s="4"/>
      <c r="D43" s="4"/>
    </row>
    <row r="44" spans="1:4" x14ac:dyDescent="0.25">
      <c r="A44" s="4"/>
      <c r="C44" s="4"/>
      <c r="D44" s="4"/>
    </row>
    <row r="45" spans="1:4" x14ac:dyDescent="0.25">
      <c r="A45" s="4"/>
      <c r="C45" s="4"/>
      <c r="D45" s="4"/>
    </row>
    <row r="46" spans="1:4" x14ac:dyDescent="0.25">
      <c r="A46" s="4"/>
      <c r="C46" s="4"/>
      <c r="D46" s="4"/>
    </row>
  </sheetData>
  <autoFilter ref="A1:D46" xr:uid="{8B9B47AF-803F-4683-AE7E-4722491BC93E}">
    <sortState xmlns:xlrd2="http://schemas.microsoft.com/office/spreadsheetml/2017/richdata2" ref="A2:D46">
      <sortCondition ref="A2:A46"/>
      <sortCondition ref="C2:C46"/>
    </sortState>
  </autoFilter>
  <sortState xmlns:xlrd2="http://schemas.microsoft.com/office/spreadsheetml/2017/richdata2" ref="H9:I17">
    <sortCondition ref="I9:I17"/>
  </sortState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69d428-cde8-4093-8c72-538d9175bce5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</dc:creator>
  <cp:lastModifiedBy>Andrew Kent (SAS)</cp:lastModifiedBy>
  <dcterms:created xsi:type="dcterms:W3CDTF">2023-05-24T13:50:45Z</dcterms:created>
  <dcterms:modified xsi:type="dcterms:W3CDTF">2025-08-08T07:28:32Z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9d428-cde8-4093-8c72-538d9175bce5_Enabled">
    <vt:lpwstr>true</vt:lpwstr>
  </property>
  <property fmtid="{D5CDD505-2E9C-101B-9397-08002B2CF9AE}" pid="3" name="MSIP_Label_9569d428-cde8-4093-8c72-538d9175bce5_SetDate">
    <vt:lpwstr>2023-05-24T14:59:49Z</vt:lpwstr>
  </property>
  <property fmtid="{D5CDD505-2E9C-101B-9397-08002B2CF9AE}" pid="4" name="MSIP_Label_9569d428-cde8-4093-8c72-538d9175bce5_Method">
    <vt:lpwstr>Privileged</vt:lpwstr>
  </property>
  <property fmtid="{D5CDD505-2E9C-101B-9397-08002B2CF9AE}" pid="5" name="MSIP_Label_9569d428-cde8-4093-8c72-538d9175bce5_Name">
    <vt:lpwstr>Personal</vt:lpwstr>
  </property>
  <property fmtid="{D5CDD505-2E9C-101B-9397-08002B2CF9AE}" pid="6" name="MSIP_Label_9569d428-cde8-4093-8c72-538d9175bce5_SiteId">
    <vt:lpwstr>10efe0bd-a030-4bca-809c-b5e6745e499a</vt:lpwstr>
  </property>
  <property fmtid="{D5CDD505-2E9C-101B-9397-08002B2CF9AE}" pid="7" name="MSIP_Label_9569d428-cde8-4093-8c72-538d9175bce5_ActionId">
    <vt:lpwstr>c6539207-eeea-48f1-b16c-5014d833b74d</vt:lpwstr>
  </property>
  <property fmtid="{D5CDD505-2E9C-101B-9397-08002B2CF9AE}" pid="8" name="MSIP_Label_9569d428-cde8-4093-8c72-538d9175bce5_ContentBits">
    <vt:lpwstr>0</vt:lpwstr>
  </property>
</Properties>
</file>